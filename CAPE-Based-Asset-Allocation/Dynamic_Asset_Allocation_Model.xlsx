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programing\cape project\"/>
    </mc:Choice>
  </mc:AlternateContent>
  <xr:revisionPtr revIDLastSave="0" documentId="8_{798C6C3E-2140-4BF4-B31A-27FF812D3744}" xr6:coauthVersionLast="47" xr6:coauthVersionMax="47" xr10:uidLastSave="{00000000-0000-0000-0000-000000000000}"/>
  <bookViews>
    <workbookView xWindow="-108" yWindow="-108" windowWidth="23256" windowHeight="12456" tabRatio="500" firstSheet="3" activeTab="5" xr2:uid="{00000000-000D-0000-FFFF-FFFF00000000}"/>
  </bookViews>
  <sheets>
    <sheet name="RAW Data" sheetId="1" r:id="rId1"/>
    <sheet name="Regression" sheetId="2" r:id="rId2"/>
    <sheet name="Real_CAPE_Calc" sheetId="3" r:id="rId3"/>
    <sheet name="CAPE vs 1-Year Return" sheetId="4" r:id="rId4"/>
    <sheet name="CAPE vs 5-Year Return" sheetId="5" r:id="rId5"/>
    <sheet name="Portfolio Growth"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 i="6" l="1"/>
  <c r="C4" i="6" s="1"/>
  <c r="C5" i="6" s="1"/>
  <c r="C6" i="6" s="1"/>
  <c r="M104" i="1"/>
  <c r="J104" i="1"/>
  <c r="I104" i="1"/>
  <c r="H104" i="1"/>
  <c r="X103" i="1"/>
  <c r="M103" i="1"/>
  <c r="J103" i="1"/>
  <c r="I103" i="1"/>
  <c r="H103" i="1"/>
  <c r="N104" i="1" s="1"/>
  <c r="P103" i="1" s="1"/>
  <c r="X102" i="1"/>
  <c r="O102" i="1"/>
  <c r="N102" i="1"/>
  <c r="M102" i="1"/>
  <c r="O101" i="1" s="1"/>
  <c r="J102" i="1"/>
  <c r="I102" i="1"/>
  <c r="H102" i="1"/>
  <c r="P101" i="1"/>
  <c r="M101" i="1"/>
  <c r="X101" i="1" s="1"/>
  <c r="J101" i="1"/>
  <c r="I101" i="1"/>
  <c r="H101" i="1"/>
  <c r="N101" i="1" s="1"/>
  <c r="X100" i="1"/>
  <c r="P100" i="1"/>
  <c r="O100" i="1"/>
  <c r="M100" i="1"/>
  <c r="J100" i="1"/>
  <c r="K100" i="1" s="1"/>
  <c r="I100" i="1"/>
  <c r="H100" i="1"/>
  <c r="O99" i="1"/>
  <c r="N99" i="1"/>
  <c r="M99" i="1"/>
  <c r="J99" i="1"/>
  <c r="I99" i="1"/>
  <c r="H99" i="1"/>
  <c r="Q98" i="1"/>
  <c r="M98" i="1"/>
  <c r="X98" i="1" s="1"/>
  <c r="J98" i="1"/>
  <c r="I98" i="1"/>
  <c r="H98" i="1"/>
  <c r="O97" i="1"/>
  <c r="M97" i="1"/>
  <c r="J97" i="1"/>
  <c r="I97" i="1"/>
  <c r="N97" i="1" s="1"/>
  <c r="H97" i="1"/>
  <c r="M96" i="1"/>
  <c r="J96" i="1"/>
  <c r="I96" i="1"/>
  <c r="H96" i="1"/>
  <c r="N95" i="1"/>
  <c r="P94" i="1" s="1"/>
  <c r="M95" i="1"/>
  <c r="J95" i="1"/>
  <c r="I95" i="1"/>
  <c r="H95" i="1"/>
  <c r="M94" i="1"/>
  <c r="J94" i="1"/>
  <c r="I94" i="1"/>
  <c r="H94" i="1"/>
  <c r="O93" i="1"/>
  <c r="M93" i="1"/>
  <c r="J93" i="1"/>
  <c r="I93" i="1"/>
  <c r="N93" i="1" s="1"/>
  <c r="H93" i="1"/>
  <c r="M92" i="1"/>
  <c r="J92" i="1"/>
  <c r="I92" i="1"/>
  <c r="H92" i="1"/>
  <c r="X91" i="1"/>
  <c r="M91" i="1"/>
  <c r="J91" i="1"/>
  <c r="I91" i="1"/>
  <c r="H91" i="1"/>
  <c r="X90" i="1"/>
  <c r="O90" i="1"/>
  <c r="M90" i="1"/>
  <c r="J90" i="1"/>
  <c r="K99" i="1" s="1"/>
  <c r="L99" i="1" s="1"/>
  <c r="T100" i="1" s="1"/>
  <c r="U100" i="1" s="1"/>
  <c r="I90" i="1"/>
  <c r="N90" i="1" s="1"/>
  <c r="H90" i="1"/>
  <c r="O89" i="1"/>
  <c r="N89" i="1"/>
  <c r="M89" i="1"/>
  <c r="X89" i="1" s="1"/>
  <c r="J89" i="1"/>
  <c r="I89" i="1"/>
  <c r="H89" i="1"/>
  <c r="X88" i="1"/>
  <c r="P88" i="1"/>
  <c r="O88" i="1"/>
  <c r="N88" i="1"/>
  <c r="M88" i="1"/>
  <c r="Q87" i="1" s="1"/>
  <c r="J88" i="1"/>
  <c r="I88" i="1"/>
  <c r="H88" i="1"/>
  <c r="X87" i="1"/>
  <c r="O87" i="1"/>
  <c r="M87" i="1"/>
  <c r="J87" i="1"/>
  <c r="I87" i="1"/>
  <c r="H87" i="1"/>
  <c r="X86" i="1"/>
  <c r="Q86" i="1"/>
  <c r="O86" i="1"/>
  <c r="M86" i="1"/>
  <c r="O85" i="1" s="1"/>
  <c r="J86" i="1"/>
  <c r="I86" i="1"/>
  <c r="H86" i="1"/>
  <c r="N87" i="1" s="1"/>
  <c r="P86" i="1" s="1"/>
  <c r="X85" i="1"/>
  <c r="M85" i="1"/>
  <c r="J85" i="1"/>
  <c r="I85" i="1"/>
  <c r="H85" i="1"/>
  <c r="M84" i="1"/>
  <c r="O83" i="1" s="1"/>
  <c r="J84" i="1"/>
  <c r="I84" i="1"/>
  <c r="H84" i="1"/>
  <c r="N84" i="1" s="1"/>
  <c r="M83" i="1"/>
  <c r="X83" i="1" s="1"/>
  <c r="J83" i="1"/>
  <c r="I83" i="1"/>
  <c r="H83" i="1"/>
  <c r="M82" i="1"/>
  <c r="J82" i="1"/>
  <c r="I82" i="1"/>
  <c r="H82" i="1"/>
  <c r="X81" i="1"/>
  <c r="N81" i="1"/>
  <c r="M81" i="1"/>
  <c r="O80" i="1" s="1"/>
  <c r="J81" i="1"/>
  <c r="I81" i="1"/>
  <c r="H81" i="1"/>
  <c r="N82" i="1" s="1"/>
  <c r="Q80" i="1"/>
  <c r="P80" i="1"/>
  <c r="M80" i="1"/>
  <c r="J80" i="1"/>
  <c r="I80" i="1"/>
  <c r="H80" i="1"/>
  <c r="N79" i="1"/>
  <c r="P78" i="1" s="1"/>
  <c r="M79" i="1"/>
  <c r="J79" i="1"/>
  <c r="I79" i="1"/>
  <c r="H79" i="1"/>
  <c r="X78" i="1"/>
  <c r="M78" i="1"/>
  <c r="J78" i="1"/>
  <c r="I78" i="1"/>
  <c r="H78" i="1"/>
  <c r="X77" i="1"/>
  <c r="Q77" i="1"/>
  <c r="O77" i="1"/>
  <c r="N77" i="1"/>
  <c r="M77" i="1"/>
  <c r="J77" i="1"/>
  <c r="I77" i="1"/>
  <c r="H77" i="1"/>
  <c r="P76" i="1"/>
  <c r="O76" i="1"/>
  <c r="M76" i="1"/>
  <c r="L76" i="1"/>
  <c r="T77" i="1" s="1"/>
  <c r="U77" i="1" s="1"/>
  <c r="J76" i="1"/>
  <c r="I76" i="1"/>
  <c r="H76" i="1"/>
  <c r="X75" i="1"/>
  <c r="M75" i="1"/>
  <c r="J75" i="1"/>
  <c r="K84" i="1" s="1"/>
  <c r="I75" i="1"/>
  <c r="H75" i="1"/>
  <c r="N75" i="1" s="1"/>
  <c r="P74" i="1" s="1"/>
  <c r="X74" i="1"/>
  <c r="Q74" i="1"/>
  <c r="O74" i="1"/>
  <c r="M74" i="1"/>
  <c r="J74" i="1"/>
  <c r="I74" i="1"/>
  <c r="H74" i="1"/>
  <c r="Q73" i="1"/>
  <c r="O73" i="1"/>
  <c r="N73" i="1"/>
  <c r="P72" i="1" s="1"/>
  <c r="M73" i="1"/>
  <c r="O72" i="1" s="1"/>
  <c r="J73" i="1"/>
  <c r="I73" i="1"/>
  <c r="H73" i="1"/>
  <c r="M72" i="1"/>
  <c r="X72" i="1" s="1"/>
  <c r="J72" i="1"/>
  <c r="K81" i="1" s="1"/>
  <c r="L81" i="1" s="1"/>
  <c r="T82" i="1" s="1"/>
  <c r="U82" i="1" s="1"/>
  <c r="I72" i="1"/>
  <c r="N72" i="1" s="1"/>
  <c r="P71" i="1" s="1"/>
  <c r="H72" i="1"/>
  <c r="Q71" i="1"/>
  <c r="O71" i="1"/>
  <c r="M71" i="1"/>
  <c r="J71" i="1"/>
  <c r="I71" i="1"/>
  <c r="H71" i="1"/>
  <c r="M70" i="1"/>
  <c r="X70" i="1" s="1"/>
  <c r="J70" i="1"/>
  <c r="I70" i="1"/>
  <c r="H70" i="1"/>
  <c r="X69" i="1"/>
  <c r="Q69" i="1"/>
  <c r="O69" i="1"/>
  <c r="M69" i="1"/>
  <c r="J69" i="1"/>
  <c r="I69" i="1"/>
  <c r="H69" i="1"/>
  <c r="O68" i="1"/>
  <c r="N68" i="1"/>
  <c r="M68" i="1"/>
  <c r="J68" i="1"/>
  <c r="I68" i="1"/>
  <c r="H68" i="1"/>
  <c r="O67" i="1"/>
  <c r="N67" i="1"/>
  <c r="M67" i="1"/>
  <c r="J67" i="1"/>
  <c r="K76" i="1" s="1"/>
  <c r="I67" i="1"/>
  <c r="H67" i="1"/>
  <c r="N66" i="1"/>
  <c r="M66" i="1"/>
  <c r="J66" i="1"/>
  <c r="I66" i="1"/>
  <c r="H66" i="1"/>
  <c r="X65" i="1"/>
  <c r="O65" i="1"/>
  <c r="N65" i="1"/>
  <c r="M65" i="1"/>
  <c r="J65" i="1"/>
  <c r="I65" i="1"/>
  <c r="H65" i="1"/>
  <c r="Q64" i="1"/>
  <c r="O64" i="1"/>
  <c r="N64" i="1"/>
  <c r="M64" i="1"/>
  <c r="J64" i="1"/>
  <c r="I64" i="1"/>
  <c r="H64" i="1"/>
  <c r="M63" i="1"/>
  <c r="J63" i="1"/>
  <c r="I63" i="1"/>
  <c r="H63" i="1"/>
  <c r="X62" i="1"/>
  <c r="O62" i="1"/>
  <c r="M62" i="1"/>
  <c r="J62" i="1"/>
  <c r="I62" i="1"/>
  <c r="H62" i="1"/>
  <c r="X61" i="1"/>
  <c r="M61" i="1"/>
  <c r="J61" i="1"/>
  <c r="K61" i="1" s="1"/>
  <c r="L61" i="1" s="1"/>
  <c r="T62" i="1" s="1"/>
  <c r="U62" i="1" s="1"/>
  <c r="I61" i="1"/>
  <c r="H61" i="1"/>
  <c r="O60" i="1"/>
  <c r="M60" i="1"/>
  <c r="J60" i="1"/>
  <c r="I60" i="1"/>
  <c r="H60" i="1"/>
  <c r="M59" i="1"/>
  <c r="J59" i="1"/>
  <c r="I59" i="1"/>
  <c r="H59" i="1"/>
  <c r="O58" i="1"/>
  <c r="N58" i="1"/>
  <c r="M58" i="1"/>
  <c r="K58" i="1"/>
  <c r="J58" i="1"/>
  <c r="I58" i="1"/>
  <c r="H58" i="1"/>
  <c r="X57" i="1"/>
  <c r="M57" i="1"/>
  <c r="J57" i="1"/>
  <c r="I57" i="1"/>
  <c r="H57" i="1"/>
  <c r="X56" i="1"/>
  <c r="O56" i="1"/>
  <c r="M56" i="1"/>
  <c r="J56" i="1"/>
  <c r="I56" i="1"/>
  <c r="H56" i="1"/>
  <c r="M55" i="1"/>
  <c r="O54" i="1" s="1"/>
  <c r="J55" i="1"/>
  <c r="I55" i="1"/>
  <c r="N55" i="1" s="1"/>
  <c r="H55" i="1"/>
  <c r="M54" i="1"/>
  <c r="J54" i="1"/>
  <c r="I54" i="1"/>
  <c r="H54" i="1"/>
  <c r="M53" i="1"/>
  <c r="J53" i="1"/>
  <c r="I53" i="1"/>
  <c r="H53" i="1"/>
  <c r="X52" i="1"/>
  <c r="N52" i="1"/>
  <c r="M52" i="1"/>
  <c r="J52" i="1"/>
  <c r="I52" i="1"/>
  <c r="H52" i="1"/>
  <c r="Q51" i="1"/>
  <c r="P51" i="1"/>
  <c r="O51" i="1"/>
  <c r="M51" i="1"/>
  <c r="J51" i="1"/>
  <c r="I51" i="1"/>
  <c r="H51" i="1"/>
  <c r="Q50" i="1"/>
  <c r="M50" i="1"/>
  <c r="X50" i="1" s="1"/>
  <c r="J50" i="1"/>
  <c r="K59" i="1" s="1"/>
  <c r="I50" i="1"/>
  <c r="H50" i="1"/>
  <c r="X49" i="1"/>
  <c r="M49" i="1"/>
  <c r="O48" i="1" s="1"/>
  <c r="J49" i="1"/>
  <c r="I49" i="1"/>
  <c r="H49" i="1"/>
  <c r="X48" i="1"/>
  <c r="Q48" i="1"/>
  <c r="M48" i="1"/>
  <c r="J48" i="1"/>
  <c r="K57" i="1" s="1"/>
  <c r="L57" i="1" s="1"/>
  <c r="T58" i="1" s="1"/>
  <c r="U58" i="1" s="1"/>
  <c r="I48" i="1"/>
  <c r="H48" i="1"/>
  <c r="Q47" i="1"/>
  <c r="O47" i="1"/>
  <c r="N47" i="1"/>
  <c r="M47" i="1"/>
  <c r="X47" i="1" s="1"/>
  <c r="J47" i="1"/>
  <c r="I47" i="1"/>
  <c r="H47" i="1"/>
  <c r="O46" i="1"/>
  <c r="M46" i="1"/>
  <c r="J46" i="1"/>
  <c r="I46" i="1"/>
  <c r="N46" i="1" s="1"/>
  <c r="H46" i="1"/>
  <c r="X45" i="1"/>
  <c r="P45" i="1"/>
  <c r="O45" i="1"/>
  <c r="M45" i="1"/>
  <c r="J45" i="1"/>
  <c r="I45" i="1"/>
  <c r="H45" i="1"/>
  <c r="M44" i="1"/>
  <c r="J44" i="1"/>
  <c r="I44" i="1"/>
  <c r="H44" i="1"/>
  <c r="M43" i="1"/>
  <c r="J43" i="1"/>
  <c r="I43" i="1"/>
  <c r="H43" i="1"/>
  <c r="M42" i="1"/>
  <c r="J42" i="1"/>
  <c r="I42" i="1"/>
  <c r="H42" i="1"/>
  <c r="N41" i="1"/>
  <c r="M41" i="1"/>
  <c r="X41" i="1" s="1"/>
  <c r="J41" i="1"/>
  <c r="I41" i="1"/>
  <c r="H41" i="1"/>
  <c r="X40" i="1"/>
  <c r="O40" i="1"/>
  <c r="M40" i="1"/>
  <c r="J40" i="1"/>
  <c r="K47" i="1" s="1"/>
  <c r="L47" i="1" s="1"/>
  <c r="T48" i="1" s="1"/>
  <c r="U48" i="1" s="1"/>
  <c r="I40" i="1"/>
  <c r="H40" i="1"/>
  <c r="X39" i="1"/>
  <c r="O39" i="1"/>
  <c r="N39" i="1"/>
  <c r="M39" i="1"/>
  <c r="J39" i="1"/>
  <c r="I39" i="1"/>
  <c r="H39" i="1"/>
  <c r="P38" i="1"/>
  <c r="O38" i="1"/>
  <c r="N38" i="1"/>
  <c r="M38" i="1"/>
  <c r="J38" i="1"/>
  <c r="I38" i="1"/>
  <c r="H38" i="1"/>
  <c r="M37" i="1"/>
  <c r="X37" i="1" s="1"/>
  <c r="K37" i="1"/>
  <c r="L37" i="1" s="1"/>
  <c r="T38" i="1" s="1"/>
  <c r="U38" i="1" s="1"/>
  <c r="J37" i="1"/>
  <c r="K46" i="1" s="1"/>
  <c r="L46" i="1" s="1"/>
  <c r="T47" i="1" s="1"/>
  <c r="U47" i="1" s="1"/>
  <c r="I37" i="1"/>
  <c r="H37" i="1"/>
  <c r="O36" i="1"/>
  <c r="M36" i="1"/>
  <c r="K36" i="1"/>
  <c r="J36" i="1"/>
  <c r="I36" i="1"/>
  <c r="H36" i="1"/>
  <c r="X35" i="1"/>
  <c r="M35" i="1"/>
  <c r="J35" i="1"/>
  <c r="I35" i="1"/>
  <c r="H35" i="1"/>
  <c r="X34" i="1"/>
  <c r="Q34" i="1"/>
  <c r="O34" i="1"/>
  <c r="M34" i="1"/>
  <c r="J34" i="1"/>
  <c r="I34" i="1"/>
  <c r="H34" i="1"/>
  <c r="O33" i="1"/>
  <c r="N33" i="1"/>
  <c r="P32" i="1" s="1"/>
  <c r="M33" i="1"/>
  <c r="Q32" i="1" s="1"/>
  <c r="J33" i="1"/>
  <c r="I33" i="1"/>
  <c r="H33" i="1"/>
  <c r="M32" i="1"/>
  <c r="J32" i="1"/>
  <c r="I32" i="1"/>
  <c r="N32" i="1" s="1"/>
  <c r="H32" i="1"/>
  <c r="X31" i="1"/>
  <c r="M31" i="1"/>
  <c r="J31" i="1"/>
  <c r="I31" i="1"/>
  <c r="H31" i="1"/>
  <c r="O30" i="1"/>
  <c r="M30" i="1"/>
  <c r="J30" i="1"/>
  <c r="I30" i="1"/>
  <c r="H30" i="1"/>
  <c r="X29" i="1"/>
  <c r="M29" i="1"/>
  <c r="J29" i="1"/>
  <c r="I29" i="1"/>
  <c r="H29" i="1"/>
  <c r="O28" i="1"/>
  <c r="M28" i="1"/>
  <c r="X28" i="1" s="1"/>
  <c r="J28" i="1"/>
  <c r="I28" i="1"/>
  <c r="H28" i="1"/>
  <c r="X27" i="1"/>
  <c r="O27" i="1"/>
  <c r="M27" i="1"/>
  <c r="J27" i="1"/>
  <c r="I27" i="1"/>
  <c r="H27" i="1"/>
  <c r="X26" i="1"/>
  <c r="O26" i="1"/>
  <c r="M26" i="1"/>
  <c r="J26" i="1"/>
  <c r="K35" i="1" s="1"/>
  <c r="I26" i="1"/>
  <c r="H26" i="1"/>
  <c r="X25" i="1"/>
  <c r="O25" i="1"/>
  <c r="M25" i="1"/>
  <c r="Q24" i="1" s="1"/>
  <c r="J25" i="1"/>
  <c r="I25" i="1"/>
  <c r="H25" i="1"/>
  <c r="O24" i="1"/>
  <c r="M24" i="1"/>
  <c r="J24" i="1"/>
  <c r="I24" i="1"/>
  <c r="H24" i="1"/>
  <c r="X23" i="1"/>
  <c r="N23" i="1"/>
  <c r="M23" i="1"/>
  <c r="O22" i="1" s="1"/>
  <c r="J23" i="1"/>
  <c r="I23" i="1"/>
  <c r="H23" i="1"/>
  <c r="X22" i="1"/>
  <c r="Q22" i="1"/>
  <c r="P22" i="1"/>
  <c r="M22" i="1"/>
  <c r="J22" i="1"/>
  <c r="I22" i="1"/>
  <c r="H22" i="1"/>
  <c r="Q21" i="1"/>
  <c r="O21" i="1"/>
  <c r="M21" i="1"/>
  <c r="J21" i="1"/>
  <c r="I21" i="1"/>
  <c r="H21" i="1"/>
  <c r="N20" i="1"/>
  <c r="M20" i="1"/>
  <c r="J20" i="1"/>
  <c r="K29" i="1" s="1"/>
  <c r="I20" i="1"/>
  <c r="H20" i="1"/>
  <c r="N19" i="1"/>
  <c r="M19" i="1"/>
  <c r="J19" i="1"/>
  <c r="I19" i="1"/>
  <c r="H19" i="1"/>
  <c r="X18" i="1"/>
  <c r="M18" i="1"/>
  <c r="J18" i="1"/>
  <c r="I18" i="1"/>
  <c r="N18" i="1" s="1"/>
  <c r="H18" i="1"/>
  <c r="O17" i="1"/>
  <c r="N17" i="1"/>
  <c r="M17" i="1"/>
  <c r="J17" i="1"/>
  <c r="I17" i="1"/>
  <c r="H17" i="1"/>
  <c r="X16" i="1"/>
  <c r="N16" i="1"/>
  <c r="P15" i="1" s="1"/>
  <c r="M16" i="1"/>
  <c r="J16" i="1"/>
  <c r="I16" i="1"/>
  <c r="H16" i="1"/>
  <c r="Q15" i="1"/>
  <c r="O15" i="1"/>
  <c r="M15" i="1"/>
  <c r="X15" i="1" s="1"/>
  <c r="J15" i="1"/>
  <c r="I15" i="1"/>
  <c r="N15" i="1" s="1"/>
  <c r="H15" i="1"/>
  <c r="X14" i="1"/>
  <c r="O14" i="1"/>
  <c r="M14" i="1"/>
  <c r="J14" i="1"/>
  <c r="I14" i="1"/>
  <c r="H14" i="1"/>
  <c r="X13" i="1"/>
  <c r="O13" i="1"/>
  <c r="M13" i="1"/>
  <c r="J13" i="1"/>
  <c r="K18" i="1" s="1"/>
  <c r="I13" i="1"/>
  <c r="H13" i="1"/>
  <c r="O12" i="1"/>
  <c r="M12" i="1"/>
  <c r="O11" i="1" s="1"/>
  <c r="J12" i="1"/>
  <c r="I12" i="1"/>
  <c r="H12" i="1"/>
  <c r="Q11" i="1"/>
  <c r="M11" i="1"/>
  <c r="J11" i="1"/>
  <c r="I11" i="1"/>
  <c r="H11" i="1"/>
  <c r="Q10" i="1"/>
  <c r="O10" i="1"/>
  <c r="M10" i="1"/>
  <c r="J10" i="1"/>
  <c r="I10" i="1"/>
  <c r="H10" i="1"/>
  <c r="N10" i="1" s="1"/>
  <c r="Q9" i="1"/>
  <c r="O9" i="1"/>
  <c r="N9" i="1"/>
  <c r="M9" i="1"/>
  <c r="O8" i="1" s="1"/>
  <c r="J9" i="1"/>
  <c r="I9" i="1"/>
  <c r="H9" i="1"/>
  <c r="Q8" i="1"/>
  <c r="P8" i="1"/>
  <c r="M8" i="1"/>
  <c r="J8" i="1"/>
  <c r="I8" i="1"/>
  <c r="H8" i="1"/>
  <c r="N8" i="1" s="1"/>
  <c r="Q7" i="1"/>
  <c r="P7" i="1"/>
  <c r="O7" i="1"/>
  <c r="N7" i="1"/>
  <c r="M7" i="1"/>
  <c r="J7" i="1"/>
  <c r="I7" i="1"/>
  <c r="H7" i="1"/>
  <c r="O6" i="1"/>
  <c r="M6" i="1"/>
  <c r="Q5" i="1" s="1"/>
  <c r="J6" i="1"/>
  <c r="I6" i="1"/>
  <c r="H6" i="1"/>
  <c r="O5" i="1"/>
  <c r="M5" i="1"/>
  <c r="J5" i="1"/>
  <c r="I5" i="1"/>
  <c r="H5" i="1"/>
  <c r="M4" i="1"/>
  <c r="O3" i="1" s="1"/>
  <c r="J4" i="1"/>
  <c r="K13" i="1" s="1"/>
  <c r="I4" i="1"/>
  <c r="H4" i="1"/>
  <c r="M3" i="1"/>
  <c r="J3" i="1"/>
  <c r="I3" i="1"/>
  <c r="H3" i="1"/>
  <c r="M104" i="3"/>
  <c r="J104" i="3"/>
  <c r="I104" i="3"/>
  <c r="H104" i="3"/>
  <c r="X103" i="3"/>
  <c r="M103" i="3"/>
  <c r="J103" i="3"/>
  <c r="I103" i="3"/>
  <c r="H103" i="3"/>
  <c r="X102" i="3"/>
  <c r="O102" i="3"/>
  <c r="M102" i="3"/>
  <c r="O101" i="3" s="1"/>
  <c r="J102" i="3"/>
  <c r="I102" i="3"/>
  <c r="H102" i="3"/>
  <c r="M101" i="3"/>
  <c r="Q98" i="3" s="1"/>
  <c r="J101" i="3"/>
  <c r="I101" i="3"/>
  <c r="H101" i="3"/>
  <c r="X100" i="3"/>
  <c r="O100" i="3"/>
  <c r="M100" i="3"/>
  <c r="O99" i="3" s="1"/>
  <c r="J100" i="3"/>
  <c r="I100" i="3"/>
  <c r="H100" i="3"/>
  <c r="M99" i="3"/>
  <c r="J99" i="3"/>
  <c r="I99" i="3"/>
  <c r="H99" i="3"/>
  <c r="M98" i="3"/>
  <c r="X98" i="3" s="1"/>
  <c r="J98" i="3"/>
  <c r="I98" i="3"/>
  <c r="H98" i="3"/>
  <c r="X97" i="3"/>
  <c r="O97" i="3"/>
  <c r="M97" i="3"/>
  <c r="J97" i="3"/>
  <c r="I97" i="3"/>
  <c r="H97" i="3"/>
  <c r="N97" i="3" s="1"/>
  <c r="M96" i="3"/>
  <c r="X96" i="3" s="1"/>
  <c r="J96" i="3"/>
  <c r="I96" i="3"/>
  <c r="H96" i="3"/>
  <c r="X95" i="3"/>
  <c r="Q95" i="3"/>
  <c r="O95" i="3"/>
  <c r="M95" i="3"/>
  <c r="O94" i="3" s="1"/>
  <c r="J95" i="3"/>
  <c r="K104" i="3" s="1"/>
  <c r="I95" i="3"/>
  <c r="H95" i="3"/>
  <c r="N94" i="3"/>
  <c r="P93" i="3" s="1"/>
  <c r="M94" i="3"/>
  <c r="X94" i="3" s="1"/>
  <c r="J94" i="3"/>
  <c r="K95" i="3" s="1"/>
  <c r="L95" i="3" s="1"/>
  <c r="T96" i="3" s="1"/>
  <c r="U96" i="3" s="1"/>
  <c r="I94" i="3"/>
  <c r="H94" i="3"/>
  <c r="N95" i="3" s="1"/>
  <c r="Q93" i="3"/>
  <c r="O93" i="3"/>
  <c r="N93" i="3"/>
  <c r="M93" i="3"/>
  <c r="J93" i="3"/>
  <c r="I93" i="3"/>
  <c r="H93" i="3"/>
  <c r="X92" i="3"/>
  <c r="M92" i="3"/>
  <c r="J92" i="3"/>
  <c r="I92" i="3"/>
  <c r="H92" i="3"/>
  <c r="O91" i="3"/>
  <c r="M91" i="3"/>
  <c r="X91" i="3" s="1"/>
  <c r="J91" i="3"/>
  <c r="I91" i="3"/>
  <c r="H91" i="3"/>
  <c r="X90" i="3"/>
  <c r="O90" i="3"/>
  <c r="M90" i="3"/>
  <c r="O89" i="3" s="1"/>
  <c r="J90" i="3"/>
  <c r="I90" i="3"/>
  <c r="H90" i="3"/>
  <c r="X89" i="3"/>
  <c r="Q89" i="3"/>
  <c r="M89" i="3"/>
  <c r="J89" i="3"/>
  <c r="I89" i="3"/>
  <c r="H89" i="3"/>
  <c r="M88" i="3"/>
  <c r="J88" i="3"/>
  <c r="I88" i="3"/>
  <c r="H88" i="3"/>
  <c r="M87" i="3"/>
  <c r="Q86" i="3" s="1"/>
  <c r="J87" i="3"/>
  <c r="I87" i="3"/>
  <c r="H87" i="3"/>
  <c r="N86" i="3"/>
  <c r="M86" i="3"/>
  <c r="K86" i="3"/>
  <c r="L86" i="3" s="1"/>
  <c r="T87" i="3" s="1"/>
  <c r="U87" i="3" s="1"/>
  <c r="J86" i="3"/>
  <c r="I86" i="3"/>
  <c r="H86" i="3"/>
  <c r="M85" i="3"/>
  <c r="J85" i="3"/>
  <c r="I85" i="3"/>
  <c r="H85" i="3"/>
  <c r="X84" i="3"/>
  <c r="M84" i="3"/>
  <c r="J84" i="3"/>
  <c r="I84" i="3"/>
  <c r="H84" i="3"/>
  <c r="O83" i="3"/>
  <c r="M83" i="3"/>
  <c r="X83" i="3" s="1"/>
  <c r="J83" i="3"/>
  <c r="I83" i="3"/>
  <c r="H83" i="3"/>
  <c r="X82" i="3"/>
  <c r="O82" i="3"/>
  <c r="N82" i="3"/>
  <c r="P81" i="3" s="1"/>
  <c r="M82" i="3"/>
  <c r="O81" i="3" s="1"/>
  <c r="J82" i="3"/>
  <c r="I82" i="3"/>
  <c r="H82" i="3"/>
  <c r="Q81" i="3"/>
  <c r="M81" i="3"/>
  <c r="X81" i="3" s="1"/>
  <c r="J81" i="3"/>
  <c r="I81" i="3"/>
  <c r="H81" i="3"/>
  <c r="X80" i="3"/>
  <c r="Q80" i="3"/>
  <c r="O80" i="3"/>
  <c r="M80" i="3"/>
  <c r="J80" i="3"/>
  <c r="I80" i="3"/>
  <c r="H80" i="3"/>
  <c r="M79" i="3"/>
  <c r="J79" i="3"/>
  <c r="I79" i="3"/>
  <c r="H79" i="3"/>
  <c r="M78" i="3"/>
  <c r="X78" i="3" s="1"/>
  <c r="J78" i="3"/>
  <c r="I78" i="3"/>
  <c r="H78" i="3"/>
  <c r="Q77" i="3"/>
  <c r="O77" i="3"/>
  <c r="N77" i="3"/>
  <c r="M77" i="3"/>
  <c r="K77" i="3"/>
  <c r="L77" i="3" s="1"/>
  <c r="T78" i="3" s="1"/>
  <c r="U78" i="3" s="1"/>
  <c r="J77" i="3"/>
  <c r="I77" i="3"/>
  <c r="H77" i="3"/>
  <c r="P76" i="3"/>
  <c r="N76" i="3"/>
  <c r="P75" i="3" s="1"/>
  <c r="M76" i="3"/>
  <c r="K76" i="3"/>
  <c r="J76" i="3"/>
  <c r="I76" i="3"/>
  <c r="H76" i="3"/>
  <c r="X75" i="3"/>
  <c r="W75" i="3"/>
  <c r="Q75" i="3"/>
  <c r="M75" i="3"/>
  <c r="J75" i="3"/>
  <c r="I75" i="3"/>
  <c r="H75" i="3"/>
  <c r="N75" i="3" s="1"/>
  <c r="X74" i="3"/>
  <c r="P74" i="3"/>
  <c r="N74" i="3"/>
  <c r="P73" i="3" s="1"/>
  <c r="M74" i="3"/>
  <c r="O73" i="3" s="1"/>
  <c r="J74" i="3"/>
  <c r="I74" i="3"/>
  <c r="H74" i="3"/>
  <c r="Q73" i="3"/>
  <c r="M73" i="3"/>
  <c r="X73" i="3" s="1"/>
  <c r="J73" i="3"/>
  <c r="I73" i="3"/>
  <c r="H73" i="3"/>
  <c r="O72" i="3"/>
  <c r="M72" i="3"/>
  <c r="J72" i="3"/>
  <c r="I72" i="3"/>
  <c r="N72" i="3" s="1"/>
  <c r="H72" i="3"/>
  <c r="M71" i="3"/>
  <c r="J71" i="3"/>
  <c r="I71" i="3"/>
  <c r="H71" i="3"/>
  <c r="M70" i="3"/>
  <c r="X70" i="3" s="1"/>
  <c r="J70" i="3"/>
  <c r="I70" i="3"/>
  <c r="H70" i="3"/>
  <c r="N70" i="3" s="1"/>
  <c r="Q69" i="3"/>
  <c r="P69" i="3"/>
  <c r="O69" i="3"/>
  <c r="M69" i="3"/>
  <c r="J69" i="3"/>
  <c r="I69" i="3"/>
  <c r="H69" i="3"/>
  <c r="M68" i="3"/>
  <c r="J68" i="3"/>
  <c r="I68" i="3"/>
  <c r="H68" i="3"/>
  <c r="N69" i="3" s="1"/>
  <c r="P68" i="3" s="1"/>
  <c r="X67" i="3"/>
  <c r="O67" i="3"/>
  <c r="N67" i="3"/>
  <c r="P66" i="3" s="1"/>
  <c r="M67" i="3"/>
  <c r="O66" i="3" s="1"/>
  <c r="J67" i="3"/>
  <c r="I67" i="3"/>
  <c r="H67" i="3"/>
  <c r="M66" i="3"/>
  <c r="J66" i="3"/>
  <c r="I66" i="3"/>
  <c r="H66" i="3"/>
  <c r="M65" i="3"/>
  <c r="J65" i="3"/>
  <c r="K74" i="3" s="1"/>
  <c r="L74" i="3" s="1"/>
  <c r="T75" i="3" s="1"/>
  <c r="U75" i="3" s="1"/>
  <c r="V75" i="3" s="1"/>
  <c r="I65" i="3"/>
  <c r="H65" i="3"/>
  <c r="M64" i="3"/>
  <c r="J64" i="3"/>
  <c r="K73" i="3" s="1"/>
  <c r="I64" i="3"/>
  <c r="N64" i="3" s="1"/>
  <c r="H64" i="3"/>
  <c r="M63" i="3"/>
  <c r="X63" i="3" s="1"/>
  <c r="J63" i="3"/>
  <c r="I63" i="3"/>
  <c r="H63" i="3"/>
  <c r="X62" i="3"/>
  <c r="O62" i="3"/>
  <c r="N62" i="3"/>
  <c r="M62" i="3"/>
  <c r="O61" i="3" s="1"/>
  <c r="J62" i="3"/>
  <c r="I62" i="3"/>
  <c r="H62" i="3"/>
  <c r="M61" i="3"/>
  <c r="X61" i="3" s="1"/>
  <c r="J61" i="3"/>
  <c r="I61" i="3"/>
  <c r="H61" i="3"/>
  <c r="X60" i="3"/>
  <c r="M60" i="3"/>
  <c r="J60" i="3"/>
  <c r="I60" i="3"/>
  <c r="N60" i="3" s="1"/>
  <c r="H60" i="3"/>
  <c r="X59" i="3"/>
  <c r="O59" i="3"/>
  <c r="M59" i="3"/>
  <c r="J59" i="3"/>
  <c r="I59" i="3"/>
  <c r="N59" i="3" s="1"/>
  <c r="H59" i="3"/>
  <c r="Q58" i="3"/>
  <c r="O58" i="3"/>
  <c r="M58" i="3"/>
  <c r="J58" i="3"/>
  <c r="I58" i="3"/>
  <c r="H58" i="3"/>
  <c r="X57" i="3"/>
  <c r="M57" i="3"/>
  <c r="J57" i="3"/>
  <c r="I57" i="3"/>
  <c r="H57" i="3"/>
  <c r="X56" i="3"/>
  <c r="M56" i="3"/>
  <c r="J56" i="3"/>
  <c r="K65" i="3" s="1"/>
  <c r="I56" i="3"/>
  <c r="H56" i="3"/>
  <c r="N56" i="3" s="1"/>
  <c r="X55" i="3"/>
  <c r="O55" i="3"/>
  <c r="N55" i="3"/>
  <c r="M55" i="3"/>
  <c r="J55" i="3"/>
  <c r="I55" i="3"/>
  <c r="H55" i="3"/>
  <c r="X54" i="3"/>
  <c r="P54" i="3"/>
  <c r="O54" i="3"/>
  <c r="M54" i="3"/>
  <c r="J54" i="3"/>
  <c r="I54" i="3"/>
  <c r="H54" i="3"/>
  <c r="O53" i="3"/>
  <c r="M53" i="3"/>
  <c r="K53" i="3"/>
  <c r="J53" i="3"/>
  <c r="I53" i="3"/>
  <c r="H53" i="3"/>
  <c r="M52" i="3"/>
  <c r="O51" i="3" s="1"/>
  <c r="J52" i="3"/>
  <c r="K61" i="3" s="1"/>
  <c r="I52" i="3"/>
  <c r="N52" i="3" s="1"/>
  <c r="H52" i="3"/>
  <c r="N51" i="3"/>
  <c r="P50" i="3" s="1"/>
  <c r="M51" i="3"/>
  <c r="J51" i="3"/>
  <c r="I51" i="3"/>
  <c r="H51" i="3"/>
  <c r="N50" i="3"/>
  <c r="M50" i="3"/>
  <c r="X50" i="3" s="1"/>
  <c r="K50" i="3"/>
  <c r="J50" i="3"/>
  <c r="I50" i="3"/>
  <c r="H50" i="3"/>
  <c r="M49" i="3"/>
  <c r="X49" i="3" s="1"/>
  <c r="J49" i="3"/>
  <c r="I49" i="3"/>
  <c r="N49" i="3" s="1"/>
  <c r="H49" i="3"/>
  <c r="N48" i="3"/>
  <c r="P47" i="3" s="1"/>
  <c r="M48" i="3"/>
  <c r="J48" i="3"/>
  <c r="I48" i="3"/>
  <c r="H48" i="3"/>
  <c r="M47" i="3"/>
  <c r="O46" i="3" s="1"/>
  <c r="K47" i="3"/>
  <c r="J47" i="3"/>
  <c r="I47" i="3"/>
  <c r="H47" i="3"/>
  <c r="M46" i="3"/>
  <c r="J46" i="3"/>
  <c r="K52" i="3" s="1"/>
  <c r="L52" i="3" s="1"/>
  <c r="T53" i="3" s="1"/>
  <c r="U53" i="3" s="1"/>
  <c r="I46" i="3"/>
  <c r="H46" i="3"/>
  <c r="N45" i="3"/>
  <c r="M45" i="3"/>
  <c r="Q42" i="3" s="1"/>
  <c r="L45" i="3"/>
  <c r="T46" i="3" s="1"/>
  <c r="U46" i="3" s="1"/>
  <c r="K45" i="3"/>
  <c r="J45" i="3"/>
  <c r="I45" i="3"/>
  <c r="H45" i="3"/>
  <c r="X44" i="3"/>
  <c r="Q44" i="3"/>
  <c r="P44" i="3"/>
  <c r="M44" i="3"/>
  <c r="O43" i="3" s="1"/>
  <c r="J44" i="3"/>
  <c r="I44" i="3"/>
  <c r="H44" i="3"/>
  <c r="M43" i="3"/>
  <c r="X43" i="3" s="1"/>
  <c r="J43" i="3"/>
  <c r="I43" i="3"/>
  <c r="H43" i="3"/>
  <c r="N43" i="3" s="1"/>
  <c r="P42" i="3" s="1"/>
  <c r="O42" i="3"/>
  <c r="M42" i="3"/>
  <c r="J42" i="3"/>
  <c r="I42" i="3"/>
  <c r="H42" i="3"/>
  <c r="X41" i="3"/>
  <c r="M41" i="3"/>
  <c r="J41" i="3"/>
  <c r="I41" i="3"/>
  <c r="H41" i="3"/>
  <c r="M40" i="3"/>
  <c r="X40" i="3" s="1"/>
  <c r="J40" i="3"/>
  <c r="I40" i="3"/>
  <c r="H40" i="3"/>
  <c r="N40" i="3" s="1"/>
  <c r="Q39" i="3"/>
  <c r="P39" i="3"/>
  <c r="M39" i="3"/>
  <c r="J39" i="3"/>
  <c r="I39" i="3"/>
  <c r="H39" i="3"/>
  <c r="M38" i="3"/>
  <c r="J38" i="3"/>
  <c r="I38" i="3"/>
  <c r="H38" i="3"/>
  <c r="X37" i="3"/>
  <c r="M37" i="3"/>
  <c r="J37" i="3"/>
  <c r="I37" i="3"/>
  <c r="H37" i="3"/>
  <c r="X36" i="3"/>
  <c r="M36" i="3"/>
  <c r="J36" i="3"/>
  <c r="I36" i="3"/>
  <c r="H36" i="3"/>
  <c r="O35" i="3"/>
  <c r="M35" i="3"/>
  <c r="J35" i="3"/>
  <c r="K44" i="3" s="1"/>
  <c r="I35" i="3"/>
  <c r="H35" i="3"/>
  <c r="X34" i="3"/>
  <c r="M34" i="3"/>
  <c r="O33" i="3" s="1"/>
  <c r="J34" i="3"/>
  <c r="K43" i="3" s="1"/>
  <c r="L43" i="3" s="1"/>
  <c r="T44" i="3" s="1"/>
  <c r="U44" i="3" s="1"/>
  <c r="I34" i="3"/>
  <c r="H34" i="3"/>
  <c r="M33" i="3"/>
  <c r="J33" i="3"/>
  <c r="I33" i="3"/>
  <c r="H33" i="3"/>
  <c r="M32" i="3"/>
  <c r="Q30" i="3" s="1"/>
  <c r="J32" i="3"/>
  <c r="I32" i="3"/>
  <c r="H32" i="3"/>
  <c r="X31" i="3"/>
  <c r="M31" i="3"/>
  <c r="J31" i="3"/>
  <c r="I31" i="3"/>
  <c r="H31" i="3"/>
  <c r="O30" i="3"/>
  <c r="N30" i="3"/>
  <c r="M30" i="3"/>
  <c r="J30" i="3"/>
  <c r="I30" i="3"/>
  <c r="H30" i="3"/>
  <c r="Q29" i="3"/>
  <c r="P29" i="3"/>
  <c r="O29" i="3"/>
  <c r="M29" i="3"/>
  <c r="O28" i="3" s="1"/>
  <c r="J29" i="3"/>
  <c r="I29" i="3"/>
  <c r="H29" i="3"/>
  <c r="M28" i="3"/>
  <c r="J28" i="3"/>
  <c r="K33" i="3" s="1"/>
  <c r="I28" i="3"/>
  <c r="H28" i="3"/>
  <c r="X27" i="3"/>
  <c r="M27" i="3"/>
  <c r="J27" i="3"/>
  <c r="I27" i="3"/>
  <c r="H27" i="3"/>
  <c r="N27" i="3" s="1"/>
  <c r="P26" i="3" s="1"/>
  <c r="Q26" i="3"/>
  <c r="O26" i="3"/>
  <c r="M26" i="3"/>
  <c r="Q23" i="3" s="1"/>
  <c r="K26" i="3"/>
  <c r="L26" i="3" s="1"/>
  <c r="T27" i="3" s="1"/>
  <c r="U27" i="3" s="1"/>
  <c r="J26" i="3"/>
  <c r="I26" i="3"/>
  <c r="H26" i="3"/>
  <c r="M25" i="3"/>
  <c r="X25" i="3" s="1"/>
  <c r="J25" i="3"/>
  <c r="I25" i="3"/>
  <c r="H25" i="3"/>
  <c r="X24" i="3"/>
  <c r="O24" i="3"/>
  <c r="M24" i="3"/>
  <c r="O23" i="3" s="1"/>
  <c r="J24" i="3"/>
  <c r="I24" i="3"/>
  <c r="H24" i="3"/>
  <c r="X23" i="3"/>
  <c r="M23" i="3"/>
  <c r="Q22" i="3" s="1"/>
  <c r="K23" i="3"/>
  <c r="L23" i="3" s="1"/>
  <c r="T24" i="3" s="1"/>
  <c r="U24" i="3" s="1"/>
  <c r="J23" i="3"/>
  <c r="I23" i="3"/>
  <c r="N23" i="3" s="1"/>
  <c r="H23" i="3"/>
  <c r="P22" i="3"/>
  <c r="O22" i="3"/>
  <c r="M22" i="3"/>
  <c r="X22" i="3" s="1"/>
  <c r="J22" i="3"/>
  <c r="I22" i="3"/>
  <c r="N22" i="3" s="1"/>
  <c r="H22" i="3"/>
  <c r="X21" i="3"/>
  <c r="Q21" i="3"/>
  <c r="M21" i="3"/>
  <c r="K21" i="3"/>
  <c r="L21" i="3" s="1"/>
  <c r="T22" i="3" s="1"/>
  <c r="U22" i="3" s="1"/>
  <c r="J21" i="3"/>
  <c r="I21" i="3"/>
  <c r="H21" i="3"/>
  <c r="Q20" i="3"/>
  <c r="O20" i="3"/>
  <c r="M20" i="3"/>
  <c r="J20" i="3"/>
  <c r="I20" i="3"/>
  <c r="H20" i="3"/>
  <c r="Q19" i="3"/>
  <c r="M19" i="3"/>
  <c r="O18" i="3" s="1"/>
  <c r="J19" i="3"/>
  <c r="I19" i="3"/>
  <c r="H19" i="3"/>
  <c r="X18" i="3"/>
  <c r="M18" i="3"/>
  <c r="J18" i="3"/>
  <c r="I18" i="3"/>
  <c r="N18" i="3" s="1"/>
  <c r="H18" i="3"/>
  <c r="X17" i="3"/>
  <c r="O17" i="3"/>
  <c r="N17" i="3"/>
  <c r="M17" i="3"/>
  <c r="J17" i="3"/>
  <c r="I17" i="3"/>
  <c r="H17" i="3"/>
  <c r="O16" i="3"/>
  <c r="N16" i="3"/>
  <c r="M16" i="3"/>
  <c r="X16" i="3" s="1"/>
  <c r="J16" i="3"/>
  <c r="I16" i="3"/>
  <c r="H16" i="3"/>
  <c r="Q15" i="3"/>
  <c r="M15" i="3"/>
  <c r="Q14" i="3" s="1"/>
  <c r="J15" i="3"/>
  <c r="I15" i="3"/>
  <c r="H15" i="3"/>
  <c r="X14" i="3"/>
  <c r="M14" i="3"/>
  <c r="O13" i="3" s="1"/>
  <c r="J14" i="3"/>
  <c r="I14" i="3"/>
  <c r="H14" i="3"/>
  <c r="X13" i="3"/>
  <c r="M13" i="3"/>
  <c r="J13" i="3"/>
  <c r="K22" i="3" s="1"/>
  <c r="I13" i="3"/>
  <c r="N13" i="3" s="1"/>
  <c r="H13" i="3"/>
  <c r="M12" i="3"/>
  <c r="Q11" i="3" s="1"/>
  <c r="J12" i="3"/>
  <c r="I12" i="3"/>
  <c r="H12" i="3"/>
  <c r="M11" i="3"/>
  <c r="J11" i="3"/>
  <c r="I11" i="3"/>
  <c r="H11" i="3"/>
  <c r="N12" i="3" s="1"/>
  <c r="M10" i="3"/>
  <c r="O9" i="3" s="1"/>
  <c r="J10" i="3"/>
  <c r="K18" i="3" s="1"/>
  <c r="L18" i="3" s="1"/>
  <c r="T19" i="3" s="1"/>
  <c r="U19" i="3" s="1"/>
  <c r="V19" i="3" s="1"/>
  <c r="I10" i="3"/>
  <c r="H10" i="3"/>
  <c r="N10" i="3" s="1"/>
  <c r="P9" i="3" s="1"/>
  <c r="N9" i="3"/>
  <c r="M9" i="3"/>
  <c r="J9" i="3"/>
  <c r="I9" i="3"/>
  <c r="H9" i="3"/>
  <c r="Q8" i="3"/>
  <c r="P8" i="3"/>
  <c r="O8" i="3"/>
  <c r="N8" i="3"/>
  <c r="M8" i="3"/>
  <c r="J8" i="3"/>
  <c r="I8" i="3"/>
  <c r="H8" i="3"/>
  <c r="M7" i="3"/>
  <c r="J7" i="3"/>
  <c r="K16" i="3" s="1"/>
  <c r="L16" i="3" s="1"/>
  <c r="T17" i="3" s="1"/>
  <c r="U17" i="3" s="1"/>
  <c r="I7" i="3"/>
  <c r="H7" i="3"/>
  <c r="O6" i="3"/>
  <c r="M6" i="3"/>
  <c r="J6" i="3"/>
  <c r="I6" i="3"/>
  <c r="H6" i="3"/>
  <c r="N6" i="3" s="1"/>
  <c r="M5" i="3"/>
  <c r="J5" i="3"/>
  <c r="I5" i="3"/>
  <c r="H5" i="3"/>
  <c r="M4" i="3"/>
  <c r="O3" i="3" s="1"/>
  <c r="J4" i="3"/>
  <c r="I4" i="3"/>
  <c r="H4" i="3"/>
  <c r="M3" i="3"/>
  <c r="J3" i="3"/>
  <c r="I3" i="3"/>
  <c r="H3" i="3"/>
  <c r="P21" i="3" l="1"/>
  <c r="V17" i="3"/>
  <c r="W17" i="3" s="1"/>
  <c r="V46" i="3"/>
  <c r="W46" i="3" s="1"/>
  <c r="V96" i="3"/>
  <c r="W96" i="3" s="1"/>
  <c r="V27" i="3"/>
  <c r="W27" i="3" s="1"/>
  <c r="V77" i="1"/>
  <c r="W77" i="1"/>
  <c r="V100" i="1"/>
  <c r="W100" i="1" s="1"/>
  <c r="V44" i="3"/>
  <c r="W44" i="3" s="1"/>
  <c r="V53" i="3"/>
  <c r="W53" i="3" s="1"/>
  <c r="V24" i="3"/>
  <c r="W24" i="3"/>
  <c r="V62" i="1"/>
  <c r="W62" i="1" s="1"/>
  <c r="V22" i="3"/>
  <c r="W22" i="3" s="1"/>
  <c r="P11" i="3"/>
  <c r="N34" i="3"/>
  <c r="L34" i="3"/>
  <c r="T35" i="3" s="1"/>
  <c r="U35" i="3" s="1"/>
  <c r="N37" i="3"/>
  <c r="C7" i="6"/>
  <c r="C8" i="6" s="1"/>
  <c r="L31" i="3"/>
  <c r="T32" i="3" s="1"/>
  <c r="U32" i="3" s="1"/>
  <c r="N31" i="3"/>
  <c r="P40" i="1"/>
  <c r="V58" i="1"/>
  <c r="W58" i="1"/>
  <c r="K90" i="1"/>
  <c r="L90" i="1" s="1"/>
  <c r="T91" i="1" s="1"/>
  <c r="U91" i="1" s="1"/>
  <c r="P96" i="1"/>
  <c r="X28" i="3"/>
  <c r="Q24" i="3"/>
  <c r="V87" i="3"/>
  <c r="W87" i="3" s="1"/>
  <c r="N14" i="3"/>
  <c r="R11" i="3" s="1"/>
  <c r="L14" i="3"/>
  <c r="T15" i="3" s="1"/>
  <c r="U15" i="3" s="1"/>
  <c r="N24" i="3"/>
  <c r="R22" i="3" s="1"/>
  <c r="K38" i="3"/>
  <c r="K40" i="3"/>
  <c r="X66" i="3"/>
  <c r="O65" i="3"/>
  <c r="Q65" i="3"/>
  <c r="L83" i="3"/>
  <c r="T84" i="3" s="1"/>
  <c r="U84" i="3" s="1"/>
  <c r="N83" i="3"/>
  <c r="N90" i="3"/>
  <c r="N37" i="1"/>
  <c r="L36" i="1"/>
  <c r="T37" i="1" s="1"/>
  <c r="U37" i="1" s="1"/>
  <c r="N36" i="1"/>
  <c r="O96" i="1"/>
  <c r="Q96" i="1"/>
  <c r="X97" i="1"/>
  <c r="N4" i="3"/>
  <c r="K20" i="3"/>
  <c r="L20" i="3" s="1"/>
  <c r="T21" i="3" s="1"/>
  <c r="U21" i="3" s="1"/>
  <c r="K19" i="3"/>
  <c r="L19" i="3" s="1"/>
  <c r="T20" i="3" s="1"/>
  <c r="U20" i="3" s="1"/>
  <c r="N19" i="3"/>
  <c r="K31" i="3"/>
  <c r="K63" i="3"/>
  <c r="L63" i="3" s="1"/>
  <c r="T64" i="3" s="1"/>
  <c r="U64" i="3" s="1"/>
  <c r="L57" i="3"/>
  <c r="T58" i="3" s="1"/>
  <c r="U58" i="3" s="1"/>
  <c r="N57" i="3"/>
  <c r="V78" i="3"/>
  <c r="W78" i="3" s="1"/>
  <c r="K96" i="3"/>
  <c r="L96" i="3" s="1"/>
  <c r="T97" i="3" s="1"/>
  <c r="U97" i="3" s="1"/>
  <c r="K30" i="1"/>
  <c r="O10" i="3"/>
  <c r="Q10" i="3"/>
  <c r="N35" i="3"/>
  <c r="N36" i="3"/>
  <c r="P71" i="3"/>
  <c r="P92" i="3"/>
  <c r="R92" i="3"/>
  <c r="Q4" i="1"/>
  <c r="O4" i="1"/>
  <c r="Q3" i="1"/>
  <c r="N24" i="1"/>
  <c r="N25" i="1"/>
  <c r="L24" i="1"/>
  <c r="T25" i="1" s="1"/>
  <c r="U25" i="1" s="1"/>
  <c r="Q38" i="1"/>
  <c r="Q41" i="1"/>
  <c r="O41" i="1"/>
  <c r="K13" i="3"/>
  <c r="L13" i="3" s="1"/>
  <c r="T14" i="3" s="1"/>
  <c r="U14" i="3" s="1"/>
  <c r="K12" i="3"/>
  <c r="L12" i="3" s="1"/>
  <c r="O7" i="3"/>
  <c r="Q7" i="3"/>
  <c r="N11" i="3"/>
  <c r="R15" i="3"/>
  <c r="K29" i="3"/>
  <c r="L29" i="3" s="1"/>
  <c r="T30" i="3" s="1"/>
  <c r="U30" i="3" s="1"/>
  <c r="N38" i="3"/>
  <c r="L38" i="3"/>
  <c r="T39" i="3" s="1"/>
  <c r="U39" i="3" s="1"/>
  <c r="N39" i="3"/>
  <c r="K66" i="3"/>
  <c r="L66" i="3" s="1"/>
  <c r="T67" i="3" s="1"/>
  <c r="U67" i="3" s="1"/>
  <c r="P59" i="3"/>
  <c r="N87" i="3"/>
  <c r="O20" i="1"/>
  <c r="Q20" i="1"/>
  <c r="X21" i="1"/>
  <c r="O57" i="1"/>
  <c r="X58" i="1"/>
  <c r="Q57" i="1"/>
  <c r="K77" i="1"/>
  <c r="L77" i="1" s="1"/>
  <c r="T78" i="1" s="1"/>
  <c r="U78" i="1" s="1"/>
  <c r="P7" i="3"/>
  <c r="O11" i="3"/>
  <c r="K48" i="3"/>
  <c r="L48" i="3" s="1"/>
  <c r="T49" i="3" s="1"/>
  <c r="U49" i="3" s="1"/>
  <c r="O71" i="3"/>
  <c r="X72" i="3"/>
  <c r="Q71" i="3"/>
  <c r="P14" i="1"/>
  <c r="R14" i="1"/>
  <c r="K27" i="1"/>
  <c r="L27" i="1" s="1"/>
  <c r="T28" i="1" s="1"/>
  <c r="U28" i="1" s="1"/>
  <c r="K26" i="1"/>
  <c r="K24" i="1"/>
  <c r="K62" i="1"/>
  <c r="L62" i="1" s="1"/>
  <c r="T63" i="1" s="1"/>
  <c r="U63" i="1" s="1"/>
  <c r="P57" i="1"/>
  <c r="O61" i="1"/>
  <c r="Q61" i="1"/>
  <c r="Q60" i="1"/>
  <c r="P64" i="1"/>
  <c r="K94" i="1"/>
  <c r="N32" i="3"/>
  <c r="N33" i="3"/>
  <c r="P94" i="3"/>
  <c r="K23" i="1"/>
  <c r="L23" i="1" s="1"/>
  <c r="T24" i="1" s="1"/>
  <c r="U24" i="1" s="1"/>
  <c r="X30" i="1"/>
  <c r="Q29" i="1"/>
  <c r="O29" i="1"/>
  <c r="Q28" i="1"/>
  <c r="Q39" i="1"/>
  <c r="X42" i="1"/>
  <c r="K49" i="1"/>
  <c r="K55" i="1"/>
  <c r="L55" i="1" s="1"/>
  <c r="T56" i="1" s="1"/>
  <c r="U56" i="1" s="1"/>
  <c r="K83" i="1"/>
  <c r="L83" i="1" s="1"/>
  <c r="T84" i="1" s="1"/>
  <c r="U84" i="1" s="1"/>
  <c r="K28" i="3"/>
  <c r="L28" i="3" s="1"/>
  <c r="T29" i="3" s="1"/>
  <c r="U29" i="3" s="1"/>
  <c r="K56" i="3"/>
  <c r="L56" i="3" s="1"/>
  <c r="T57" i="3" s="1"/>
  <c r="U57" i="3" s="1"/>
  <c r="N29" i="1"/>
  <c r="L29" i="1"/>
  <c r="T30" i="1" s="1"/>
  <c r="U30" i="1" s="1"/>
  <c r="P63" i="1"/>
  <c r="R63" i="1"/>
  <c r="P63" i="3"/>
  <c r="R16" i="3"/>
  <c r="P16" i="3"/>
  <c r="X58" i="3"/>
  <c r="O57" i="3"/>
  <c r="Q55" i="3"/>
  <c r="Q57" i="3"/>
  <c r="V38" i="1"/>
  <c r="W38" i="1" s="1"/>
  <c r="P9" i="1"/>
  <c r="R9" i="1"/>
  <c r="R8" i="3"/>
  <c r="K42" i="3"/>
  <c r="L42" i="3" s="1"/>
  <c r="T43" i="3" s="1"/>
  <c r="U43" i="3" s="1"/>
  <c r="K53" i="1"/>
  <c r="L53" i="1"/>
  <c r="T54" i="1" s="1"/>
  <c r="U54" i="1" s="1"/>
  <c r="N53" i="1"/>
  <c r="N54" i="1"/>
  <c r="Q9" i="3"/>
  <c r="X15" i="3"/>
  <c r="X105" i="3" s="1"/>
  <c r="O14" i="3"/>
  <c r="L53" i="3"/>
  <c r="T54" i="3" s="1"/>
  <c r="U54" i="3" s="1"/>
  <c r="N54" i="3"/>
  <c r="N53" i="3"/>
  <c r="R51" i="3" s="1"/>
  <c r="K12" i="1"/>
  <c r="L12" i="1" s="1"/>
  <c r="P6" i="1"/>
  <c r="P18" i="1"/>
  <c r="O59" i="1"/>
  <c r="Q59" i="1"/>
  <c r="X60" i="1"/>
  <c r="K37" i="3"/>
  <c r="L37" i="3" s="1"/>
  <c r="T38" i="3" s="1"/>
  <c r="U38" i="3" s="1"/>
  <c r="K36" i="3"/>
  <c r="L36" i="3" s="1"/>
  <c r="T37" i="3" s="1"/>
  <c r="U37" i="3" s="1"/>
  <c r="K59" i="3"/>
  <c r="L59" i="3" s="1"/>
  <c r="T60" i="3" s="1"/>
  <c r="U60" i="3" s="1"/>
  <c r="P37" i="1"/>
  <c r="O63" i="1"/>
  <c r="Q63" i="1"/>
  <c r="X64" i="1"/>
  <c r="P89" i="1"/>
  <c r="R89" i="1"/>
  <c r="K68" i="1"/>
  <c r="K70" i="1"/>
  <c r="L70" i="1" s="1"/>
  <c r="T71" i="1" s="1"/>
  <c r="U71" i="1" s="1"/>
  <c r="K67" i="1"/>
  <c r="L67" i="1" s="1"/>
  <c r="T68" i="1" s="1"/>
  <c r="U68" i="1" s="1"/>
  <c r="N41" i="3"/>
  <c r="N42" i="3"/>
  <c r="N30" i="1"/>
  <c r="N43" i="1"/>
  <c r="N59" i="1"/>
  <c r="N60" i="1"/>
  <c r="L59" i="1"/>
  <c r="T60" i="1" s="1"/>
  <c r="U60" i="1" s="1"/>
  <c r="N25" i="3"/>
  <c r="N26" i="3"/>
  <c r="O27" i="3"/>
  <c r="L61" i="3"/>
  <c r="T62" i="3" s="1"/>
  <c r="U62" i="3" s="1"/>
  <c r="N61" i="3"/>
  <c r="R59" i="3" s="1"/>
  <c r="L78" i="3"/>
  <c r="T79" i="3" s="1"/>
  <c r="U79" i="3" s="1"/>
  <c r="N78" i="3"/>
  <c r="R75" i="3" s="1"/>
  <c r="N79" i="3"/>
  <c r="R74" i="3" s="1"/>
  <c r="K103" i="3"/>
  <c r="L103" i="3" s="1"/>
  <c r="T104" i="3" s="1"/>
  <c r="U104" i="3" s="1"/>
  <c r="K94" i="3"/>
  <c r="L94" i="3" s="1"/>
  <c r="T95" i="3" s="1"/>
  <c r="U95" i="3" s="1"/>
  <c r="N104" i="3"/>
  <c r="P103" i="3" s="1"/>
  <c r="L104" i="3"/>
  <c r="N57" i="1"/>
  <c r="N56" i="1"/>
  <c r="P83" i="1"/>
  <c r="R83" i="1"/>
  <c r="R86" i="1"/>
  <c r="P98" i="1"/>
  <c r="Q4" i="3"/>
  <c r="O4" i="3"/>
  <c r="K67" i="3"/>
  <c r="K93" i="3"/>
  <c r="L93" i="3" s="1"/>
  <c r="T94" i="3" s="1"/>
  <c r="U94" i="3" s="1"/>
  <c r="K90" i="3"/>
  <c r="L90" i="3" s="1"/>
  <c r="T91" i="3" s="1"/>
  <c r="U91" i="3" s="1"/>
  <c r="K34" i="1"/>
  <c r="L34" i="1" s="1"/>
  <c r="T35" i="1" s="1"/>
  <c r="U35" i="1" s="1"/>
  <c r="V82" i="1"/>
  <c r="W82" i="1"/>
  <c r="N5" i="3"/>
  <c r="Q27" i="3"/>
  <c r="P51" i="3"/>
  <c r="K64" i="3"/>
  <c r="L64" i="3" s="1"/>
  <c r="T65" i="3" s="1"/>
  <c r="U65" i="3" s="1"/>
  <c r="K87" i="3"/>
  <c r="L87" i="3" s="1"/>
  <c r="T88" i="3" s="1"/>
  <c r="U88" i="3" s="1"/>
  <c r="K97" i="3"/>
  <c r="L97" i="3" s="1"/>
  <c r="T98" i="3" s="1"/>
  <c r="U98" i="3" s="1"/>
  <c r="W47" i="1"/>
  <c r="V48" i="1"/>
  <c r="W48" i="1"/>
  <c r="K78" i="1"/>
  <c r="L78" i="1" s="1"/>
  <c r="T79" i="1" s="1"/>
  <c r="U79" i="1" s="1"/>
  <c r="K72" i="1"/>
  <c r="L72" i="1" s="1"/>
  <c r="T73" i="1" s="1"/>
  <c r="U73" i="1" s="1"/>
  <c r="P5" i="3"/>
  <c r="Q41" i="3"/>
  <c r="P48" i="3"/>
  <c r="N91" i="3"/>
  <c r="K40" i="1"/>
  <c r="L40" i="1" s="1"/>
  <c r="T41" i="1" s="1"/>
  <c r="U41" i="1" s="1"/>
  <c r="N44" i="1"/>
  <c r="L44" i="1"/>
  <c r="T45" i="1" s="1"/>
  <c r="U45" i="1" s="1"/>
  <c r="N45" i="1"/>
  <c r="K75" i="1"/>
  <c r="L75" i="1" s="1"/>
  <c r="T76" i="1" s="1"/>
  <c r="U76" i="1" s="1"/>
  <c r="Q94" i="1"/>
  <c r="O94" i="1"/>
  <c r="X95" i="1"/>
  <c r="K55" i="3"/>
  <c r="K54" i="3"/>
  <c r="L54" i="3" s="1"/>
  <c r="T55" i="3" s="1"/>
  <c r="U55" i="3" s="1"/>
  <c r="L84" i="1"/>
  <c r="T85" i="1" s="1"/>
  <c r="U85" i="1" s="1"/>
  <c r="X20" i="3"/>
  <c r="Q16" i="3"/>
  <c r="O19" i="3"/>
  <c r="Q17" i="3"/>
  <c r="K30" i="3"/>
  <c r="L30" i="3" s="1"/>
  <c r="T31" i="3" s="1"/>
  <c r="U31" i="3" s="1"/>
  <c r="O15" i="3"/>
  <c r="X33" i="3"/>
  <c r="Q32" i="3"/>
  <c r="O32" i="3"/>
  <c r="O45" i="3"/>
  <c r="Q45" i="3"/>
  <c r="X46" i="3"/>
  <c r="P55" i="3"/>
  <c r="R58" i="3"/>
  <c r="P58" i="3"/>
  <c r="K79" i="3"/>
  <c r="L79" i="3" s="1"/>
  <c r="T80" i="3" s="1"/>
  <c r="U80" i="3" s="1"/>
  <c r="O84" i="3"/>
  <c r="X85" i="3"/>
  <c r="Q84" i="3"/>
  <c r="Q82" i="3"/>
  <c r="Q83" i="3"/>
  <c r="K73" i="1"/>
  <c r="W19" i="3"/>
  <c r="O49" i="3"/>
  <c r="Q49" i="3"/>
  <c r="P61" i="3"/>
  <c r="R61" i="3"/>
  <c r="R49" i="3"/>
  <c r="P49" i="3"/>
  <c r="X48" i="3"/>
  <c r="O47" i="3"/>
  <c r="Q47" i="3"/>
  <c r="L84" i="3"/>
  <c r="T85" i="3" s="1"/>
  <c r="U85" i="3" s="1"/>
  <c r="N84" i="3"/>
  <c r="X45" i="3"/>
  <c r="O44" i="3"/>
  <c r="K70" i="3"/>
  <c r="L70" i="3" s="1"/>
  <c r="T71" i="3" s="1"/>
  <c r="U71" i="3" s="1"/>
  <c r="K68" i="3"/>
  <c r="L68" i="3" s="1"/>
  <c r="T69" i="3" s="1"/>
  <c r="U69" i="3" s="1"/>
  <c r="N58" i="3"/>
  <c r="K22" i="1"/>
  <c r="L22" i="1" s="1"/>
  <c r="T23" i="1" s="1"/>
  <c r="U23" i="1" s="1"/>
  <c r="K20" i="1"/>
  <c r="L20" i="1" s="1"/>
  <c r="T21" i="1" s="1"/>
  <c r="U21" i="1" s="1"/>
  <c r="K15" i="1"/>
  <c r="L15" i="1" s="1"/>
  <c r="T16" i="1" s="1"/>
  <c r="U16" i="1" s="1"/>
  <c r="Q25" i="3"/>
  <c r="K57" i="3"/>
  <c r="K58" i="3"/>
  <c r="L58" i="3" s="1"/>
  <c r="T59" i="3" s="1"/>
  <c r="U59" i="3" s="1"/>
  <c r="Q63" i="3"/>
  <c r="Q61" i="3"/>
  <c r="O63" i="3"/>
  <c r="Q59" i="3"/>
  <c r="X64" i="3"/>
  <c r="Q62" i="3"/>
  <c r="Q60" i="3"/>
  <c r="K14" i="3"/>
  <c r="K15" i="3"/>
  <c r="L15" i="3" s="1"/>
  <c r="T16" i="3" s="1"/>
  <c r="U16" i="3" s="1"/>
  <c r="R12" i="3"/>
  <c r="P12" i="3"/>
  <c r="K46" i="3"/>
  <c r="L46" i="3" s="1"/>
  <c r="T47" i="3" s="1"/>
  <c r="U47" i="3" s="1"/>
  <c r="L65" i="3"/>
  <c r="T66" i="3" s="1"/>
  <c r="U66" i="3" s="1"/>
  <c r="N65" i="3"/>
  <c r="Q6" i="3"/>
  <c r="Q13" i="3"/>
  <c r="P15" i="3"/>
  <c r="R17" i="3"/>
  <c r="P17" i="3"/>
  <c r="K32" i="3"/>
  <c r="L32" i="3" s="1"/>
  <c r="T33" i="3" s="1"/>
  <c r="U33" i="3" s="1"/>
  <c r="K35" i="3"/>
  <c r="L35" i="3" s="1"/>
  <c r="T36" i="3" s="1"/>
  <c r="U36" i="3" s="1"/>
  <c r="K34" i="3"/>
  <c r="O39" i="3"/>
  <c r="K62" i="3"/>
  <c r="Q64" i="3"/>
  <c r="X65" i="3"/>
  <c r="O64" i="3"/>
  <c r="X76" i="3"/>
  <c r="O75" i="3"/>
  <c r="Q72" i="3"/>
  <c r="N85" i="3"/>
  <c r="N4" i="1"/>
  <c r="P31" i="1"/>
  <c r="X38" i="1"/>
  <c r="O37" i="1"/>
  <c r="Q36" i="1"/>
  <c r="Q37" i="1"/>
  <c r="V47" i="1"/>
  <c r="K64" i="1"/>
  <c r="L64" i="1" s="1"/>
  <c r="T65" i="1" s="1"/>
  <c r="U65" i="1" s="1"/>
  <c r="O98" i="1"/>
  <c r="X99" i="1"/>
  <c r="Q97" i="1"/>
  <c r="Q5" i="3"/>
  <c r="O5" i="3"/>
  <c r="L67" i="3"/>
  <c r="T68" i="3" s="1"/>
  <c r="U68" i="3" s="1"/>
  <c r="X71" i="3"/>
  <c r="O70" i="3"/>
  <c r="N100" i="3"/>
  <c r="L100" i="3"/>
  <c r="T101" i="3" s="1"/>
  <c r="U101" i="3" s="1"/>
  <c r="K52" i="1"/>
  <c r="L52" i="1" s="1"/>
  <c r="T53" i="1" s="1"/>
  <c r="U53" i="1" s="1"/>
  <c r="Q81" i="1"/>
  <c r="X82" i="1"/>
  <c r="X84" i="1"/>
  <c r="X104" i="1"/>
  <c r="Q99" i="1"/>
  <c r="Q36" i="3"/>
  <c r="X86" i="3"/>
  <c r="Q85" i="3"/>
  <c r="O85" i="3"/>
  <c r="N103" i="3"/>
  <c r="P102" i="3" s="1"/>
  <c r="K28" i="1"/>
  <c r="Q31" i="1"/>
  <c r="O31" i="1"/>
  <c r="X32" i="1"/>
  <c r="Q30" i="1"/>
  <c r="Q42" i="1"/>
  <c r="O42" i="1"/>
  <c r="K71" i="1"/>
  <c r="L71" i="1" s="1"/>
  <c r="T72" i="1" s="1"/>
  <c r="U72" i="1" s="1"/>
  <c r="Q66" i="1"/>
  <c r="X67" i="1"/>
  <c r="N70" i="1"/>
  <c r="K89" i="1"/>
  <c r="L89" i="1" s="1"/>
  <c r="T90" i="1" s="1"/>
  <c r="U90" i="1" s="1"/>
  <c r="K87" i="1"/>
  <c r="L87" i="1" s="1"/>
  <c r="T88" i="1" s="1"/>
  <c r="U88" i="1" s="1"/>
  <c r="K88" i="1"/>
  <c r="O82" i="1"/>
  <c r="N86" i="1"/>
  <c r="N85" i="1"/>
  <c r="R88" i="1"/>
  <c r="K24" i="3"/>
  <c r="L24" i="3" s="1"/>
  <c r="T25" i="3" s="1"/>
  <c r="U25" i="3" s="1"/>
  <c r="Q33" i="3"/>
  <c r="Q35" i="3"/>
  <c r="O38" i="3"/>
  <c r="Q38" i="3"/>
  <c r="X39" i="3"/>
  <c r="O40" i="3"/>
  <c r="Q40" i="3"/>
  <c r="X69" i="3"/>
  <c r="O68" i="3"/>
  <c r="Q66" i="3"/>
  <c r="P85" i="3"/>
  <c r="X24" i="1"/>
  <c r="Q23" i="1"/>
  <c r="O23" i="1"/>
  <c r="Q43" i="1"/>
  <c r="Q45" i="1"/>
  <c r="X46" i="1"/>
  <c r="P66" i="1"/>
  <c r="K82" i="1"/>
  <c r="L82" i="1" s="1"/>
  <c r="T83" i="1" s="1"/>
  <c r="U83" i="1" s="1"/>
  <c r="X80" i="1"/>
  <c r="Q79" i="1"/>
  <c r="O79" i="1"/>
  <c r="Q76" i="1"/>
  <c r="Q3" i="3"/>
  <c r="L47" i="3"/>
  <c r="T48" i="3" s="1"/>
  <c r="U48" i="3" s="1"/>
  <c r="N47" i="3"/>
  <c r="X52" i="3"/>
  <c r="O86" i="3"/>
  <c r="Q88" i="3"/>
  <c r="O88" i="3"/>
  <c r="O96" i="3"/>
  <c r="Q96" i="3"/>
  <c r="Q94" i="3"/>
  <c r="Q18" i="1"/>
  <c r="O18" i="1"/>
  <c r="X19" i="1"/>
  <c r="L30" i="1"/>
  <c r="T31" i="1" s="1"/>
  <c r="U31" i="1" s="1"/>
  <c r="O32" i="1"/>
  <c r="K44" i="1"/>
  <c r="K42" i="1"/>
  <c r="L42" i="1" s="1"/>
  <c r="T43" i="1" s="1"/>
  <c r="U43" i="1" s="1"/>
  <c r="K41" i="1"/>
  <c r="L41" i="1"/>
  <c r="T42" i="1" s="1"/>
  <c r="U42" i="1" s="1"/>
  <c r="N42" i="1"/>
  <c r="X43" i="1"/>
  <c r="Q58" i="1"/>
  <c r="X59" i="1"/>
  <c r="K74" i="1"/>
  <c r="L74" i="1" s="1"/>
  <c r="T75" i="1" s="1"/>
  <c r="U75" i="1" s="1"/>
  <c r="Q82" i="1"/>
  <c r="N29" i="3"/>
  <c r="Q37" i="3"/>
  <c r="K49" i="3"/>
  <c r="L49" i="3" s="1"/>
  <c r="T50" i="3" s="1"/>
  <c r="U50" i="3" s="1"/>
  <c r="R47" i="3"/>
  <c r="Q51" i="3"/>
  <c r="N66" i="3"/>
  <c r="R63" i="3" s="1"/>
  <c r="N101" i="3"/>
  <c r="P100" i="3" s="1"/>
  <c r="X104" i="3"/>
  <c r="O103" i="3"/>
  <c r="K32" i="1"/>
  <c r="L32" i="1" s="1"/>
  <c r="T33" i="1" s="1"/>
  <c r="U33" i="1" s="1"/>
  <c r="K31" i="1"/>
  <c r="X33" i="1"/>
  <c r="O35" i="1"/>
  <c r="X36" i="1"/>
  <c r="Q35" i="1"/>
  <c r="Q33" i="1"/>
  <c r="X63" i="1"/>
  <c r="Q62" i="1"/>
  <c r="Q65" i="1"/>
  <c r="X66" i="1"/>
  <c r="N71" i="1"/>
  <c r="O81" i="1"/>
  <c r="N15" i="3"/>
  <c r="N44" i="3"/>
  <c r="L44" i="3"/>
  <c r="T45" i="3" s="1"/>
  <c r="U45" i="3" s="1"/>
  <c r="Q19" i="1"/>
  <c r="X20" i="1"/>
  <c r="O19" i="1"/>
  <c r="L28" i="1"/>
  <c r="T29" i="1" s="1"/>
  <c r="U29" i="1" s="1"/>
  <c r="N28" i="1"/>
  <c r="K48" i="1"/>
  <c r="K54" i="1"/>
  <c r="O70" i="1"/>
  <c r="Q70" i="1"/>
  <c r="X71" i="1"/>
  <c r="R80" i="1"/>
  <c r="O95" i="1"/>
  <c r="Q95" i="1"/>
  <c r="Q12" i="3"/>
  <c r="O12" i="3"/>
  <c r="O25" i="3"/>
  <c r="X42" i="3"/>
  <c r="O41" i="3"/>
  <c r="O76" i="3"/>
  <c r="X77" i="3"/>
  <c r="Q76" i="3"/>
  <c r="X87" i="3"/>
  <c r="L31" i="1"/>
  <c r="T32" i="1" s="1"/>
  <c r="U32" i="1" s="1"/>
  <c r="N31" i="1"/>
  <c r="N50" i="1"/>
  <c r="N51" i="1"/>
  <c r="P65" i="1"/>
  <c r="X96" i="1"/>
  <c r="O103" i="1"/>
  <c r="X30" i="3"/>
  <c r="Q28" i="3"/>
  <c r="Q50" i="3"/>
  <c r="X51" i="3"/>
  <c r="O50" i="3"/>
  <c r="O52" i="3"/>
  <c r="X53" i="3"/>
  <c r="Q52" i="3"/>
  <c r="N98" i="3"/>
  <c r="N99" i="3"/>
  <c r="R96" i="3" s="1"/>
  <c r="X17" i="1"/>
  <c r="Q13" i="1"/>
  <c r="O16" i="1"/>
  <c r="Q16" i="1"/>
  <c r="K66" i="1"/>
  <c r="L66" i="1" s="1"/>
  <c r="T67" i="1" s="1"/>
  <c r="U67" i="1" s="1"/>
  <c r="P67" i="1"/>
  <c r="K80" i="1"/>
  <c r="L80" i="1" s="1"/>
  <c r="T81" i="1" s="1"/>
  <c r="U81" i="1" s="1"/>
  <c r="N103" i="1"/>
  <c r="P102" i="1" s="1"/>
  <c r="L103" i="1"/>
  <c r="T104" i="1" s="1"/>
  <c r="U104" i="1" s="1"/>
  <c r="K27" i="3"/>
  <c r="K25" i="3"/>
  <c r="L25" i="3" s="1"/>
  <c r="T26" i="3" s="1"/>
  <c r="U26" i="3" s="1"/>
  <c r="X26" i="3"/>
  <c r="Q31" i="3"/>
  <c r="X32" i="3"/>
  <c r="O31" i="3"/>
  <c r="Q48" i="3"/>
  <c r="O48" i="3"/>
  <c r="Q54" i="3"/>
  <c r="Q53" i="3"/>
  <c r="K71" i="3"/>
  <c r="L71" i="3" s="1"/>
  <c r="T72" i="3" s="1"/>
  <c r="U72" i="3" s="1"/>
  <c r="K72" i="3"/>
  <c r="L72" i="3" s="1"/>
  <c r="T73" i="3" s="1"/>
  <c r="U73" i="3" s="1"/>
  <c r="N68" i="3"/>
  <c r="P16" i="1"/>
  <c r="K45" i="1"/>
  <c r="L45" i="1" s="1"/>
  <c r="T46" i="1" s="1"/>
  <c r="U46" i="1" s="1"/>
  <c r="X54" i="1"/>
  <c r="Q53" i="1"/>
  <c r="O53" i="1"/>
  <c r="Q56" i="1"/>
  <c r="Q83" i="1"/>
  <c r="P92" i="1"/>
  <c r="X101" i="3"/>
  <c r="Q99" i="3"/>
  <c r="L22" i="3"/>
  <c r="T23" i="3" s="1"/>
  <c r="U23" i="3" s="1"/>
  <c r="O36" i="3"/>
  <c r="L40" i="3"/>
  <c r="T41" i="3" s="1"/>
  <c r="U41" i="3" s="1"/>
  <c r="N46" i="3"/>
  <c r="L50" i="3"/>
  <c r="T51" i="3" s="1"/>
  <c r="U51" i="3" s="1"/>
  <c r="Q68" i="3"/>
  <c r="Q70" i="3"/>
  <c r="O92" i="3"/>
  <c r="X93" i="3"/>
  <c r="Q91" i="3"/>
  <c r="Q90" i="3"/>
  <c r="Q92" i="3"/>
  <c r="N102" i="3"/>
  <c r="P101" i="3" s="1"/>
  <c r="K16" i="1"/>
  <c r="L16" i="1" s="1"/>
  <c r="T17" i="1" s="1"/>
  <c r="U17" i="1" s="1"/>
  <c r="P17" i="1"/>
  <c r="P54" i="1"/>
  <c r="O66" i="1"/>
  <c r="N69" i="1"/>
  <c r="R67" i="1" s="1"/>
  <c r="L69" i="1"/>
  <c r="T70" i="1" s="1"/>
  <c r="U70" i="1" s="1"/>
  <c r="P87" i="1"/>
  <c r="L91" i="1"/>
  <c r="T92" i="1" s="1"/>
  <c r="U92" i="1" s="1"/>
  <c r="N91" i="1"/>
  <c r="N92" i="1"/>
  <c r="N94" i="1"/>
  <c r="L94" i="1"/>
  <c r="T95" i="1" s="1"/>
  <c r="U95" i="1" s="1"/>
  <c r="K41" i="3"/>
  <c r="L41" i="3" s="1"/>
  <c r="T42" i="3" s="1"/>
  <c r="U42" i="3" s="1"/>
  <c r="X35" i="3"/>
  <c r="Q34" i="3"/>
  <c r="K83" i="3"/>
  <c r="L76" i="3"/>
  <c r="T77" i="3" s="1"/>
  <c r="U77" i="3" s="1"/>
  <c r="N5" i="1"/>
  <c r="R15" i="1"/>
  <c r="K50" i="1"/>
  <c r="L50" i="1" s="1"/>
  <c r="T51" i="1" s="1"/>
  <c r="U51" i="1" s="1"/>
  <c r="K85" i="1"/>
  <c r="L85" i="1" s="1"/>
  <c r="T86" i="1" s="1"/>
  <c r="U86" i="1" s="1"/>
  <c r="K96" i="1"/>
  <c r="L96" i="1" s="1"/>
  <c r="T97" i="1" s="1"/>
  <c r="U97" i="1" s="1"/>
  <c r="K97" i="1"/>
  <c r="L97" i="1" s="1"/>
  <c r="T98" i="1" s="1"/>
  <c r="U98" i="1" s="1"/>
  <c r="N7" i="3"/>
  <c r="N63" i="3"/>
  <c r="K89" i="3"/>
  <c r="N96" i="3"/>
  <c r="K33" i="1"/>
  <c r="L65" i="1"/>
  <c r="T66" i="1" s="1"/>
  <c r="U66" i="1" s="1"/>
  <c r="N78" i="1"/>
  <c r="Q89" i="1"/>
  <c r="L95" i="1"/>
  <c r="T96" i="1" s="1"/>
  <c r="U96" i="1" s="1"/>
  <c r="K14" i="1"/>
  <c r="L14" i="1" s="1"/>
  <c r="T15" i="1" s="1"/>
  <c r="U15" i="1" s="1"/>
  <c r="Q17" i="1"/>
  <c r="P19" i="1"/>
  <c r="K38" i="1"/>
  <c r="L38" i="1" s="1"/>
  <c r="T39" i="1" s="1"/>
  <c r="U39" i="1" s="1"/>
  <c r="Q54" i="1"/>
  <c r="K79" i="1"/>
  <c r="L79" i="1" s="1"/>
  <c r="T80" i="1" s="1"/>
  <c r="U80" i="1" s="1"/>
  <c r="K102" i="1"/>
  <c r="L102" i="1" s="1"/>
  <c r="T103" i="1" s="1"/>
  <c r="U103" i="1" s="1"/>
  <c r="Q18" i="3"/>
  <c r="X19" i="3"/>
  <c r="N28" i="3"/>
  <c r="O37" i="3"/>
  <c r="X38" i="3"/>
  <c r="X47" i="3"/>
  <c r="L62" i="3"/>
  <c r="T63" i="3" s="1"/>
  <c r="U63" i="3" s="1"/>
  <c r="K92" i="3"/>
  <c r="L92" i="3" s="1"/>
  <c r="T93" i="3" s="1"/>
  <c r="U93" i="3" s="1"/>
  <c r="K92" i="1"/>
  <c r="L92" i="1" s="1"/>
  <c r="T93" i="1" s="1"/>
  <c r="U93" i="1" s="1"/>
  <c r="Q92" i="1"/>
  <c r="O92" i="1"/>
  <c r="M105" i="3"/>
  <c r="N20" i="3"/>
  <c r="N21" i="3"/>
  <c r="Q46" i="3"/>
  <c r="O56" i="3"/>
  <c r="Q56" i="3"/>
  <c r="N71" i="3"/>
  <c r="N73" i="3"/>
  <c r="L73" i="3"/>
  <c r="T74" i="3" s="1"/>
  <c r="U74" i="3" s="1"/>
  <c r="N6" i="1"/>
  <c r="K51" i="1"/>
  <c r="L51" i="1" s="1"/>
  <c r="T52" i="1" s="1"/>
  <c r="U52" i="1" s="1"/>
  <c r="N49" i="1"/>
  <c r="L49" i="1"/>
  <c r="T50" i="1" s="1"/>
  <c r="U50" i="1" s="1"/>
  <c r="Q52" i="1"/>
  <c r="X53" i="1"/>
  <c r="O52" i="1"/>
  <c r="R81" i="1"/>
  <c r="P81" i="1"/>
  <c r="K98" i="1"/>
  <c r="L98" i="1"/>
  <c r="T99" i="1" s="1"/>
  <c r="U99" i="1" s="1"/>
  <c r="N98" i="1"/>
  <c r="K69" i="3"/>
  <c r="L69" i="3" s="1"/>
  <c r="T70" i="3" s="1"/>
  <c r="U70" i="3" s="1"/>
  <c r="O98" i="3"/>
  <c r="X99" i="3"/>
  <c r="O21" i="3"/>
  <c r="O34" i="3"/>
  <c r="K51" i="3"/>
  <c r="L51" i="3" s="1"/>
  <c r="T52" i="3" s="1"/>
  <c r="U52" i="3" s="1"/>
  <c r="Q43" i="3"/>
  <c r="Q46" i="1"/>
  <c r="Q49" i="1"/>
  <c r="X51" i="1"/>
  <c r="O50" i="1"/>
  <c r="Q91" i="1"/>
  <c r="P96" i="3"/>
  <c r="K17" i="3"/>
  <c r="L17" i="3" s="1"/>
  <c r="T18" i="3" s="1"/>
  <c r="U18" i="3" s="1"/>
  <c r="L27" i="3"/>
  <c r="T28" i="3" s="1"/>
  <c r="U28" i="3" s="1"/>
  <c r="K39" i="3"/>
  <c r="L39" i="3" s="1"/>
  <c r="T40" i="3" s="1"/>
  <c r="U40" i="3" s="1"/>
  <c r="L33" i="3"/>
  <c r="T34" i="3" s="1"/>
  <c r="U34" i="3" s="1"/>
  <c r="O60" i="3"/>
  <c r="K78" i="3"/>
  <c r="K80" i="3"/>
  <c r="L80" i="3" s="1"/>
  <c r="T81" i="3" s="1"/>
  <c r="U81" i="3" s="1"/>
  <c r="K82" i="3"/>
  <c r="L82" i="3" s="1"/>
  <c r="T83" i="3" s="1"/>
  <c r="U83" i="3" s="1"/>
  <c r="K81" i="3"/>
  <c r="Q87" i="3"/>
  <c r="O87" i="3"/>
  <c r="X88" i="3"/>
  <c r="K56" i="1"/>
  <c r="L56" i="1" s="1"/>
  <c r="T57" i="1" s="1"/>
  <c r="U57" i="1" s="1"/>
  <c r="X55" i="1"/>
  <c r="Q67" i="1"/>
  <c r="X68" i="1"/>
  <c r="K86" i="1"/>
  <c r="L86" i="1" s="1"/>
  <c r="T87" i="1" s="1"/>
  <c r="U87" i="1" s="1"/>
  <c r="N80" i="1"/>
  <c r="Q85" i="1"/>
  <c r="X93" i="1"/>
  <c r="L60" i="3"/>
  <c r="T61" i="3" s="1"/>
  <c r="U61" i="3" s="1"/>
  <c r="K85" i="3"/>
  <c r="L85" i="3" s="1"/>
  <c r="T86" i="3" s="1"/>
  <c r="U86" i="3" s="1"/>
  <c r="N80" i="3"/>
  <c r="N88" i="3"/>
  <c r="K99" i="3"/>
  <c r="L99" i="3" s="1"/>
  <c r="T100" i="3" s="1"/>
  <c r="U100" i="3" s="1"/>
  <c r="N92" i="3"/>
  <c r="N11" i="1"/>
  <c r="R6" i="1" s="1"/>
  <c r="N22" i="1"/>
  <c r="N21" i="1"/>
  <c r="R19" i="1" s="1"/>
  <c r="K43" i="1"/>
  <c r="L43" i="1" s="1"/>
  <c r="T44" i="1" s="1"/>
  <c r="U44" i="1" s="1"/>
  <c r="P46" i="1"/>
  <c r="N63" i="1"/>
  <c r="K93" i="1"/>
  <c r="X68" i="3"/>
  <c r="Q67" i="3"/>
  <c r="M105" i="1"/>
  <c r="R7" i="1"/>
  <c r="K21" i="1"/>
  <c r="L21" i="1" s="1"/>
  <c r="T22" i="1" s="1"/>
  <c r="U22" i="1" s="1"/>
  <c r="Q26" i="1"/>
  <c r="K65" i="1"/>
  <c r="K104" i="1"/>
  <c r="X29" i="3"/>
  <c r="L91" i="3"/>
  <c r="T92" i="3" s="1"/>
  <c r="U92" i="3" s="1"/>
  <c r="K25" i="1"/>
  <c r="L25" i="1" s="1"/>
  <c r="T26" i="1" s="1"/>
  <c r="U26" i="1" s="1"/>
  <c r="N35" i="1"/>
  <c r="L35" i="1"/>
  <c r="T36" i="1" s="1"/>
  <c r="U36" i="1" s="1"/>
  <c r="K63" i="1"/>
  <c r="L63" i="1" s="1"/>
  <c r="T64" i="1" s="1"/>
  <c r="U64" i="1" s="1"/>
  <c r="Q55" i="1"/>
  <c r="O55" i="1"/>
  <c r="Q93" i="1"/>
  <c r="X94" i="1"/>
  <c r="K84" i="3"/>
  <c r="N81" i="3"/>
  <c r="L81" i="3"/>
  <c r="T82" i="3" s="1"/>
  <c r="U82" i="3" s="1"/>
  <c r="L89" i="3"/>
  <c r="T90" i="3" s="1"/>
  <c r="U90" i="3" s="1"/>
  <c r="N89" i="3"/>
  <c r="Q25" i="1"/>
  <c r="L68" i="1"/>
  <c r="T69" i="1" s="1"/>
  <c r="U69" i="1" s="1"/>
  <c r="Q78" i="1"/>
  <c r="X79" i="1"/>
  <c r="O78" i="1"/>
  <c r="K91" i="1"/>
  <c r="Q84" i="1"/>
  <c r="O84" i="1"/>
  <c r="Q90" i="1"/>
  <c r="O91" i="1"/>
  <c r="X92" i="1"/>
  <c r="X79" i="3"/>
  <c r="O78" i="3"/>
  <c r="K101" i="3"/>
  <c r="L101" i="3" s="1"/>
  <c r="T102" i="3" s="1"/>
  <c r="U102" i="3" s="1"/>
  <c r="Q44" i="1"/>
  <c r="O44" i="1"/>
  <c r="K101" i="1"/>
  <c r="L101" i="1" s="1"/>
  <c r="T102" i="1" s="1"/>
  <c r="U102" i="1" s="1"/>
  <c r="K103" i="1"/>
  <c r="K75" i="3"/>
  <c r="L75" i="3" s="1"/>
  <c r="T76" i="3" s="1"/>
  <c r="U76" i="3" s="1"/>
  <c r="Q78" i="3"/>
  <c r="Q79" i="3"/>
  <c r="O79" i="3"/>
  <c r="K19" i="1"/>
  <c r="L19" i="1" s="1"/>
  <c r="T20" i="1" s="1"/>
  <c r="U20" i="1" s="1"/>
  <c r="N14" i="1"/>
  <c r="N40" i="1"/>
  <c r="R38" i="1" s="1"/>
  <c r="K60" i="1"/>
  <c r="L60" i="1" s="1"/>
  <c r="T61" i="1" s="1"/>
  <c r="U61" i="1" s="1"/>
  <c r="N76" i="1"/>
  <c r="N100" i="1"/>
  <c r="L100" i="1"/>
  <c r="T101" i="1" s="1"/>
  <c r="U101" i="1" s="1"/>
  <c r="L104" i="1"/>
  <c r="K60" i="3"/>
  <c r="L55" i="3"/>
  <c r="T56" i="3" s="1"/>
  <c r="U56" i="3" s="1"/>
  <c r="K91" i="3"/>
  <c r="K100" i="3"/>
  <c r="Q12" i="1"/>
  <c r="L18" i="1"/>
  <c r="T19" i="1" s="1"/>
  <c r="U19" i="1" s="1"/>
  <c r="K39" i="1"/>
  <c r="L39" i="1" s="1"/>
  <c r="T40" i="1" s="1"/>
  <c r="U40" i="1" s="1"/>
  <c r="O43" i="1"/>
  <c r="X44" i="1"/>
  <c r="R72" i="1"/>
  <c r="L93" i="1"/>
  <c r="T94" i="1" s="1"/>
  <c r="U94" i="1" s="1"/>
  <c r="K88" i="3"/>
  <c r="L88" i="3" s="1"/>
  <c r="T89" i="3" s="1"/>
  <c r="U89" i="3" s="1"/>
  <c r="Q97" i="3"/>
  <c r="Q6" i="1"/>
  <c r="N12" i="1"/>
  <c r="N26" i="1"/>
  <c r="L26" i="1"/>
  <c r="T27" i="1" s="1"/>
  <c r="U27" i="1" s="1"/>
  <c r="N27" i="1"/>
  <c r="L58" i="1"/>
  <c r="T59" i="1" s="1"/>
  <c r="U59" i="1" s="1"/>
  <c r="N61" i="1"/>
  <c r="N62" i="1"/>
  <c r="X76" i="1"/>
  <c r="Q75" i="1"/>
  <c r="N96" i="1"/>
  <c r="Q74" i="3"/>
  <c r="O74" i="3"/>
  <c r="K17" i="1"/>
  <c r="L17" i="1" s="1"/>
  <c r="T18" i="1" s="1"/>
  <c r="U18" i="1" s="1"/>
  <c r="K69" i="1"/>
  <c r="K98" i="3"/>
  <c r="L98" i="3" s="1"/>
  <c r="T99" i="3" s="1"/>
  <c r="U99" i="3" s="1"/>
  <c r="L54" i="1"/>
  <c r="T55" i="1" s="1"/>
  <c r="U55" i="1" s="1"/>
  <c r="Q68" i="1"/>
  <c r="X73" i="1"/>
  <c r="N83" i="1"/>
  <c r="K95" i="1"/>
  <c r="L13" i="1"/>
  <c r="T14" i="1" s="1"/>
  <c r="U14" i="1" s="1"/>
  <c r="N13" i="1"/>
  <c r="L33" i="1"/>
  <c r="T34" i="1" s="1"/>
  <c r="U34" i="1" s="1"/>
  <c r="N34" i="1"/>
  <c r="L48" i="1"/>
  <c r="T49" i="1" s="1"/>
  <c r="U49" i="1" s="1"/>
  <c r="N48" i="1"/>
  <c r="O49" i="1"/>
  <c r="Q72" i="1"/>
  <c r="N74" i="1"/>
  <c r="O75" i="1"/>
  <c r="K102" i="3"/>
  <c r="L102" i="3" s="1"/>
  <c r="T103" i="3" s="1"/>
  <c r="U103" i="3" s="1"/>
  <c r="L88" i="1"/>
  <c r="T89" i="1" s="1"/>
  <c r="U89" i="1" s="1"/>
  <c r="Q14" i="1"/>
  <c r="Q88" i="1"/>
  <c r="Q27" i="1"/>
  <c r="Q40" i="1"/>
  <c r="L73" i="1"/>
  <c r="T74" i="1" s="1"/>
  <c r="U74" i="1" s="1"/>
  <c r="V38" i="3" l="1"/>
  <c r="W38" i="3" s="1"/>
  <c r="V93" i="3"/>
  <c r="W93" i="3" s="1"/>
  <c r="V18" i="3"/>
  <c r="W18" i="3" s="1"/>
  <c r="V36" i="3"/>
  <c r="W36" i="3" s="1"/>
  <c r="V24" i="1"/>
  <c r="W24" i="1" s="1"/>
  <c r="V33" i="3"/>
  <c r="W33" i="3" s="1"/>
  <c r="V81" i="1"/>
  <c r="W81" i="1"/>
  <c r="V64" i="3"/>
  <c r="W64" i="3"/>
  <c r="V91" i="3"/>
  <c r="W91" i="3"/>
  <c r="V86" i="3"/>
  <c r="W86" i="3"/>
  <c r="V26" i="3"/>
  <c r="W26" i="3" s="1"/>
  <c r="V25" i="3"/>
  <c r="W25" i="3" s="1"/>
  <c r="V79" i="1"/>
  <c r="W79" i="1" s="1"/>
  <c r="V86" i="1"/>
  <c r="W86" i="1" s="1"/>
  <c r="V75" i="1"/>
  <c r="W75" i="1" s="1"/>
  <c r="V99" i="3"/>
  <c r="W99" i="3" s="1"/>
  <c r="V88" i="3"/>
  <c r="W88" i="3" s="1"/>
  <c r="V20" i="3"/>
  <c r="W20" i="3"/>
  <c r="V80" i="1"/>
  <c r="W80" i="1" s="1"/>
  <c r="V42" i="3"/>
  <c r="W42" i="3" s="1"/>
  <c r="V43" i="3"/>
  <c r="W43" i="3"/>
  <c r="V51" i="1"/>
  <c r="W51" i="1" s="1"/>
  <c r="V103" i="1"/>
  <c r="W103" i="1" s="1"/>
  <c r="V71" i="1"/>
  <c r="W71" i="1"/>
  <c r="V40" i="1"/>
  <c r="W40" i="1" s="1"/>
  <c r="V57" i="1"/>
  <c r="W57" i="1" s="1"/>
  <c r="V52" i="3"/>
  <c r="W52" i="3" s="1"/>
  <c r="V69" i="3"/>
  <c r="W69" i="3" s="1"/>
  <c r="V39" i="1"/>
  <c r="W39" i="1"/>
  <c r="V71" i="3"/>
  <c r="W71" i="3" s="1"/>
  <c r="V104" i="3"/>
  <c r="W104" i="3"/>
  <c r="W103" i="3"/>
  <c r="V103" i="3"/>
  <c r="V102" i="3"/>
  <c r="W102" i="3" s="1"/>
  <c r="V44" i="1"/>
  <c r="W44" i="1"/>
  <c r="V84" i="1"/>
  <c r="W84" i="1"/>
  <c r="V64" i="1"/>
  <c r="W64" i="1"/>
  <c r="P69" i="1"/>
  <c r="R69" i="1"/>
  <c r="V37" i="3"/>
  <c r="W37" i="3" s="1"/>
  <c r="V22" i="1"/>
  <c r="W22" i="1" s="1"/>
  <c r="V47" i="3"/>
  <c r="W47" i="3" s="1"/>
  <c r="P59" i="1"/>
  <c r="R59" i="1"/>
  <c r="V57" i="3"/>
  <c r="W57" i="3" s="1"/>
  <c r="R82" i="3"/>
  <c r="P82" i="3"/>
  <c r="R77" i="1"/>
  <c r="P77" i="1"/>
  <c r="R76" i="1"/>
  <c r="V53" i="1"/>
  <c r="W53" i="1" s="1"/>
  <c r="R84" i="3"/>
  <c r="P84" i="3"/>
  <c r="V85" i="1"/>
  <c r="W85" i="1" s="1"/>
  <c r="R58" i="1"/>
  <c r="P58" i="1"/>
  <c r="W84" i="3"/>
  <c r="V84" i="3"/>
  <c r="P88" i="3"/>
  <c r="R88" i="3"/>
  <c r="V72" i="1"/>
  <c r="W72" i="1" s="1"/>
  <c r="V55" i="3"/>
  <c r="W55" i="3" s="1"/>
  <c r="P56" i="3"/>
  <c r="R56" i="3"/>
  <c r="V18" i="1"/>
  <c r="W18" i="1" s="1"/>
  <c r="W76" i="3"/>
  <c r="V76" i="3"/>
  <c r="V90" i="3"/>
  <c r="W90" i="3" s="1"/>
  <c r="P79" i="1"/>
  <c r="R79" i="1"/>
  <c r="V63" i="3"/>
  <c r="W63" i="3"/>
  <c r="R93" i="1"/>
  <c r="P93" i="1"/>
  <c r="R16" i="1"/>
  <c r="V16" i="3"/>
  <c r="W16" i="3" s="1"/>
  <c r="R81" i="3"/>
  <c r="V58" i="3"/>
  <c r="W58" i="3" s="1"/>
  <c r="V82" i="3"/>
  <c r="W82" i="3" s="1"/>
  <c r="V50" i="1"/>
  <c r="W50" i="1" s="1"/>
  <c r="R76" i="3"/>
  <c r="R65" i="1"/>
  <c r="R41" i="1"/>
  <c r="P41" i="1"/>
  <c r="V98" i="3"/>
  <c r="W98" i="3"/>
  <c r="R73" i="3"/>
  <c r="P24" i="1"/>
  <c r="R24" i="1"/>
  <c r="V102" i="1"/>
  <c r="W102" i="1" s="1"/>
  <c r="V87" i="1"/>
  <c r="W87" i="1" s="1"/>
  <c r="P48" i="1"/>
  <c r="R48" i="1"/>
  <c r="R95" i="3"/>
  <c r="P95" i="3"/>
  <c r="R23" i="1"/>
  <c r="P23" i="1"/>
  <c r="R22" i="1"/>
  <c r="W92" i="1"/>
  <c r="V92" i="1"/>
  <c r="V73" i="3"/>
  <c r="W73" i="3" s="1"/>
  <c r="C9" i="6"/>
  <c r="C10" i="6" s="1"/>
  <c r="C11" i="6" s="1"/>
  <c r="C12" i="6" s="1"/>
  <c r="C13" i="6" s="1"/>
  <c r="C14" i="6" s="1"/>
  <c r="C15" i="6" s="1"/>
  <c r="C16" i="6" s="1"/>
  <c r="C17" i="6" s="1"/>
  <c r="C18" i="6" s="1"/>
  <c r="C19" i="6" s="1"/>
  <c r="C20" i="6" s="1"/>
  <c r="C21" i="6" s="1"/>
  <c r="C22" i="6" s="1"/>
  <c r="C23" i="6" s="1"/>
  <c r="C24" i="6" s="1"/>
  <c r="C25" i="6" s="1"/>
  <c r="C26" i="6" s="1"/>
  <c r="C27" i="6" s="1"/>
  <c r="C28" i="6" s="1"/>
  <c r="C29" i="6" s="1"/>
  <c r="C30" i="6" s="1"/>
  <c r="C31" i="6" s="1"/>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R5" i="1"/>
  <c r="P5" i="1"/>
  <c r="R27" i="3"/>
  <c r="P27" i="3"/>
  <c r="R26" i="3"/>
  <c r="W51" i="3"/>
  <c r="V51" i="3"/>
  <c r="V72" i="3"/>
  <c r="W72" i="3"/>
  <c r="P49" i="1"/>
  <c r="R49" i="1"/>
  <c r="V43" i="1"/>
  <c r="W43" i="1" s="1"/>
  <c r="R55" i="3"/>
  <c r="V76" i="1"/>
  <c r="W76" i="1" s="1"/>
  <c r="P40" i="3"/>
  <c r="R40" i="3"/>
  <c r="R39" i="3"/>
  <c r="P36" i="3"/>
  <c r="R36" i="3"/>
  <c r="V20" i="1"/>
  <c r="W20" i="1"/>
  <c r="W66" i="3"/>
  <c r="V66" i="3"/>
  <c r="W73" i="1"/>
  <c r="V73" i="1"/>
  <c r="V60" i="1"/>
  <c r="W60" i="1"/>
  <c r="P28" i="1"/>
  <c r="R28" i="1"/>
  <c r="V91" i="1"/>
  <c r="W91" i="1" s="1"/>
  <c r="V55" i="1"/>
  <c r="W55" i="1" s="1"/>
  <c r="W69" i="1"/>
  <c r="V69" i="1"/>
  <c r="V28" i="3"/>
  <c r="W28" i="3" s="1"/>
  <c r="P3" i="1"/>
  <c r="R3" i="1"/>
  <c r="N105" i="1"/>
  <c r="V89" i="1"/>
  <c r="W89" i="1" s="1"/>
  <c r="V93" i="1"/>
  <c r="W93" i="1" s="1"/>
  <c r="V46" i="1"/>
  <c r="W46" i="1" s="1"/>
  <c r="P46" i="3"/>
  <c r="R46" i="3"/>
  <c r="V29" i="3"/>
  <c r="W29" i="3" s="1"/>
  <c r="V95" i="1"/>
  <c r="W95" i="1" s="1"/>
  <c r="V48" i="3"/>
  <c r="W48" i="3" s="1"/>
  <c r="V101" i="3"/>
  <c r="W101" i="3" s="1"/>
  <c r="V80" i="3"/>
  <c r="W80" i="3"/>
  <c r="P42" i="1"/>
  <c r="R42" i="1"/>
  <c r="V66" i="1"/>
  <c r="W66" i="1" s="1"/>
  <c r="R99" i="3"/>
  <c r="P99" i="3"/>
  <c r="R83" i="3"/>
  <c r="P83" i="3"/>
  <c r="R55" i="1"/>
  <c r="P55" i="1"/>
  <c r="V56" i="1"/>
  <c r="W56" i="1" s="1"/>
  <c r="R57" i="1"/>
  <c r="V25" i="1"/>
  <c r="W25" i="1"/>
  <c r="R40" i="1"/>
  <c r="P91" i="1"/>
  <c r="R91" i="1"/>
  <c r="V67" i="1"/>
  <c r="W67" i="1" s="1"/>
  <c r="V85" i="3"/>
  <c r="W85" i="3" s="1"/>
  <c r="P56" i="1"/>
  <c r="R56" i="1"/>
  <c r="P29" i="1"/>
  <c r="R29" i="1"/>
  <c r="R18" i="1"/>
  <c r="R30" i="3"/>
  <c r="P30" i="3"/>
  <c r="R29" i="3"/>
  <c r="R73" i="1"/>
  <c r="R71" i="1"/>
  <c r="P73" i="1"/>
  <c r="V19" i="1"/>
  <c r="W19" i="1" s="1"/>
  <c r="R80" i="3"/>
  <c r="P80" i="3"/>
  <c r="R90" i="1"/>
  <c r="P90" i="1"/>
  <c r="P67" i="3"/>
  <c r="R67" i="3"/>
  <c r="R66" i="3"/>
  <c r="P50" i="1"/>
  <c r="R50" i="1"/>
  <c r="V42" i="1"/>
  <c r="W42" i="1" s="1"/>
  <c r="R54" i="3"/>
  <c r="V63" i="1"/>
  <c r="W63" i="1" s="1"/>
  <c r="R86" i="3"/>
  <c r="P86" i="3"/>
  <c r="V32" i="3"/>
  <c r="W32" i="3" s="1"/>
  <c r="R95" i="1"/>
  <c r="P95" i="1"/>
  <c r="R94" i="1"/>
  <c r="R62" i="1"/>
  <c r="P62" i="1"/>
  <c r="V52" i="1"/>
  <c r="W52" i="1" s="1"/>
  <c r="V68" i="3"/>
  <c r="W68" i="3" s="1"/>
  <c r="V65" i="3"/>
  <c r="W65" i="3" s="1"/>
  <c r="P41" i="3"/>
  <c r="R41" i="3"/>
  <c r="R47" i="1"/>
  <c r="P47" i="1"/>
  <c r="R45" i="1"/>
  <c r="R46" i="1"/>
  <c r="R93" i="3"/>
  <c r="R62" i="3"/>
  <c r="P62" i="3"/>
  <c r="R87" i="1"/>
  <c r="P45" i="3"/>
  <c r="R45" i="3"/>
  <c r="R44" i="3"/>
  <c r="X105" i="1"/>
  <c r="R27" i="1"/>
  <c r="P27" i="1"/>
  <c r="V33" i="1"/>
  <c r="W33" i="1"/>
  <c r="V83" i="1"/>
  <c r="W83" i="1" s="1"/>
  <c r="P44" i="1"/>
  <c r="R44" i="1"/>
  <c r="V95" i="3"/>
  <c r="W95" i="3"/>
  <c r="W68" i="1"/>
  <c r="V68" i="1"/>
  <c r="L105" i="1"/>
  <c r="T13" i="1"/>
  <c r="V28" i="1"/>
  <c r="W28" i="1" s="1"/>
  <c r="P18" i="3"/>
  <c r="R18" i="3"/>
  <c r="W94" i="1"/>
  <c r="V94" i="1"/>
  <c r="V40" i="3"/>
  <c r="W40" i="3" s="1"/>
  <c r="P89" i="3"/>
  <c r="R89" i="3"/>
  <c r="V49" i="1"/>
  <c r="W49" i="1"/>
  <c r="V29" i="1"/>
  <c r="W29" i="1"/>
  <c r="P52" i="3"/>
  <c r="R52" i="3"/>
  <c r="R50" i="3"/>
  <c r="R72" i="3"/>
  <c r="P72" i="3"/>
  <c r="P68" i="1"/>
  <c r="R68" i="1"/>
  <c r="V32" i="1"/>
  <c r="W32" i="1"/>
  <c r="V31" i="1"/>
  <c r="W31" i="1" s="1"/>
  <c r="R66" i="1"/>
  <c r="P43" i="1"/>
  <c r="R43" i="1"/>
  <c r="P53" i="3"/>
  <c r="R53" i="3"/>
  <c r="R38" i="3"/>
  <c r="P38" i="3"/>
  <c r="V97" i="1"/>
  <c r="W97" i="1" s="1"/>
  <c r="R97" i="3"/>
  <c r="P97" i="3"/>
  <c r="V54" i="3"/>
  <c r="W54" i="3" s="1"/>
  <c r="R12" i="1"/>
  <c r="P12" i="1"/>
  <c r="V36" i="1"/>
  <c r="W36" i="1" s="1"/>
  <c r="V59" i="3"/>
  <c r="W59" i="3"/>
  <c r="P85" i="1"/>
  <c r="R85" i="1"/>
  <c r="V35" i="1"/>
  <c r="W35" i="1" s="1"/>
  <c r="P60" i="3"/>
  <c r="R60" i="3"/>
  <c r="P25" i="1"/>
  <c r="R25" i="1"/>
  <c r="V83" i="3"/>
  <c r="W83" i="3" s="1"/>
  <c r="R17" i="1"/>
  <c r="R32" i="3"/>
  <c r="P32" i="3"/>
  <c r="V92" i="3"/>
  <c r="W92" i="3" s="1"/>
  <c r="V81" i="3"/>
  <c r="W81" i="3" s="1"/>
  <c r="V70" i="3"/>
  <c r="W70" i="3" s="1"/>
  <c r="P20" i="3"/>
  <c r="R20" i="3"/>
  <c r="P4" i="1"/>
  <c r="R4" i="1"/>
  <c r="R14" i="3"/>
  <c r="P14" i="3"/>
  <c r="V16" i="1"/>
  <c r="W16" i="1"/>
  <c r="R78" i="1"/>
  <c r="V94" i="3"/>
  <c r="W94" i="3" s="1"/>
  <c r="R53" i="1"/>
  <c r="P53" i="1"/>
  <c r="P31" i="3"/>
  <c r="R31" i="3"/>
  <c r="P10" i="3"/>
  <c r="R10" i="3"/>
  <c r="R9" i="3"/>
  <c r="R35" i="1"/>
  <c r="P35" i="1"/>
  <c r="V74" i="1"/>
  <c r="W74" i="1" s="1"/>
  <c r="P39" i="1"/>
  <c r="R39" i="1"/>
  <c r="V100" i="3"/>
  <c r="W100" i="3"/>
  <c r="R97" i="1"/>
  <c r="P97" i="1"/>
  <c r="R19" i="3"/>
  <c r="P19" i="3"/>
  <c r="W17" i="1"/>
  <c r="V17" i="1"/>
  <c r="V50" i="3"/>
  <c r="W50" i="3" s="1"/>
  <c r="V88" i="1"/>
  <c r="W88" i="1" s="1"/>
  <c r="V21" i="1"/>
  <c r="W21" i="1"/>
  <c r="V31" i="3"/>
  <c r="W31" i="3"/>
  <c r="R25" i="3"/>
  <c r="P25" i="3"/>
  <c r="P52" i="1"/>
  <c r="R51" i="1"/>
  <c r="R52" i="1"/>
  <c r="V37" i="1"/>
  <c r="W37" i="1" s="1"/>
  <c r="V14" i="3"/>
  <c r="W14" i="3" s="1"/>
  <c r="V70" i="1"/>
  <c r="W70" i="1" s="1"/>
  <c r="V41" i="3"/>
  <c r="W41" i="3"/>
  <c r="P98" i="3"/>
  <c r="R98" i="3"/>
  <c r="R30" i="1"/>
  <c r="P30" i="1"/>
  <c r="V45" i="1"/>
  <c r="W45" i="1" s="1"/>
  <c r="V67" i="3"/>
  <c r="W67" i="3"/>
  <c r="W35" i="3"/>
  <c r="V35" i="3"/>
  <c r="R60" i="1"/>
  <c r="P60" i="1"/>
  <c r="P4" i="3"/>
  <c r="R4" i="3"/>
  <c r="R78" i="3"/>
  <c r="P78" i="3"/>
  <c r="V15" i="3"/>
  <c r="W15" i="3"/>
  <c r="P70" i="3"/>
  <c r="R70" i="3"/>
  <c r="R68" i="3"/>
  <c r="V41" i="1"/>
  <c r="W41" i="1" s="1"/>
  <c r="R77" i="3"/>
  <c r="P77" i="3"/>
  <c r="P13" i="3"/>
  <c r="R13" i="3"/>
  <c r="W101" i="1"/>
  <c r="V101" i="1"/>
  <c r="P21" i="1"/>
  <c r="R21" i="1"/>
  <c r="R54" i="1"/>
  <c r="V79" i="3"/>
  <c r="W79" i="3" s="1"/>
  <c r="P10" i="1"/>
  <c r="R10" i="1"/>
  <c r="R65" i="3"/>
  <c r="P65" i="3"/>
  <c r="R69" i="3"/>
  <c r="R75" i="1"/>
  <c r="P75" i="1"/>
  <c r="R74" i="1"/>
  <c r="V62" i="3"/>
  <c r="W62" i="3" s="1"/>
  <c r="V96" i="1"/>
  <c r="W96" i="1"/>
  <c r="V104" i="1"/>
  <c r="W104" i="1" s="1"/>
  <c r="V97" i="3"/>
  <c r="W97" i="3" s="1"/>
  <c r="V61" i="3"/>
  <c r="W61" i="3"/>
  <c r="R61" i="1"/>
  <c r="P61" i="1"/>
  <c r="V56" i="3"/>
  <c r="W56" i="3" s="1"/>
  <c r="V74" i="3"/>
  <c r="W74" i="3" s="1"/>
  <c r="R6" i="3"/>
  <c r="P6" i="3"/>
  <c r="P23" i="3"/>
  <c r="R23" i="3"/>
  <c r="P33" i="1"/>
  <c r="R33" i="1"/>
  <c r="R32" i="1"/>
  <c r="V98" i="1"/>
  <c r="W98" i="1"/>
  <c r="V21" i="3"/>
  <c r="W21" i="3" s="1"/>
  <c r="R33" i="3"/>
  <c r="P33" i="3"/>
  <c r="V34" i="1"/>
  <c r="W34" i="1"/>
  <c r="V59" i="1"/>
  <c r="W59" i="1" s="1"/>
  <c r="P20" i="1"/>
  <c r="R20" i="1"/>
  <c r="W23" i="3"/>
  <c r="V23" i="3"/>
  <c r="P84" i="1"/>
  <c r="R84" i="1"/>
  <c r="V39" i="3"/>
  <c r="W39" i="3" s="1"/>
  <c r="R71" i="3"/>
  <c r="P3" i="3"/>
  <c r="N105" i="3"/>
  <c r="R3" i="3"/>
  <c r="R26" i="1"/>
  <c r="P26" i="1"/>
  <c r="V65" i="1"/>
  <c r="W65" i="1" s="1"/>
  <c r="P90" i="3"/>
  <c r="R90" i="3"/>
  <c r="R94" i="3"/>
  <c r="R37" i="3"/>
  <c r="P37" i="3"/>
  <c r="V14" i="1"/>
  <c r="W14" i="1" s="1"/>
  <c r="V27" i="1"/>
  <c r="W27" i="1" s="1"/>
  <c r="P99" i="1"/>
  <c r="R99" i="1"/>
  <c r="P34" i="1"/>
  <c r="R34" i="1"/>
  <c r="V45" i="3"/>
  <c r="W45" i="3" s="1"/>
  <c r="V30" i="3"/>
  <c r="W30" i="3"/>
  <c r="R35" i="3"/>
  <c r="P35" i="3"/>
  <c r="V26" i="1"/>
  <c r="W26" i="1"/>
  <c r="R92" i="1"/>
  <c r="R43" i="3"/>
  <c r="P43" i="3"/>
  <c r="R42" i="3"/>
  <c r="R48" i="3"/>
  <c r="V49" i="3"/>
  <c r="W49" i="3" s="1"/>
  <c r="P34" i="3"/>
  <c r="R34" i="3"/>
  <c r="R82" i="1"/>
  <c r="P82" i="1"/>
  <c r="R11" i="1"/>
  <c r="P11" i="1"/>
  <c r="V61" i="1"/>
  <c r="W61" i="1"/>
  <c r="R91" i="3"/>
  <c r="P91" i="3"/>
  <c r="R87" i="3"/>
  <c r="P87" i="3"/>
  <c r="V99" i="1"/>
  <c r="W99" i="1"/>
  <c r="V77" i="3"/>
  <c r="W77" i="3" s="1"/>
  <c r="P70" i="1"/>
  <c r="R70" i="1"/>
  <c r="V90" i="1"/>
  <c r="W90" i="1" s="1"/>
  <c r="V23" i="1"/>
  <c r="W23" i="1"/>
  <c r="R37" i="1"/>
  <c r="V54" i="1"/>
  <c r="W54" i="1" s="1"/>
  <c r="R7" i="3"/>
  <c r="R36" i="1"/>
  <c r="P36" i="1"/>
  <c r="R96" i="1"/>
  <c r="R8" i="1"/>
  <c r="V89" i="3"/>
  <c r="W89" i="3" s="1"/>
  <c r="R13" i="1"/>
  <c r="P13" i="1"/>
  <c r="P79" i="3"/>
  <c r="R79" i="3"/>
  <c r="V34" i="3"/>
  <c r="W34" i="3" s="1"/>
  <c r="W15" i="1"/>
  <c r="V15" i="1"/>
  <c r="R28" i="3"/>
  <c r="P28" i="3"/>
  <c r="R85" i="3"/>
  <c r="R31" i="1"/>
  <c r="R64" i="3"/>
  <c r="P64" i="3"/>
  <c r="P57" i="3"/>
  <c r="R57" i="3"/>
  <c r="R5" i="3"/>
  <c r="R24" i="3"/>
  <c r="P24" i="3"/>
  <c r="V60" i="3"/>
  <c r="W60" i="3" s="1"/>
  <c r="V30" i="1"/>
  <c r="W30" i="1"/>
  <c r="R64" i="1"/>
  <c r="W78" i="1"/>
  <c r="V78" i="1"/>
  <c r="L105" i="3"/>
  <c r="T13" i="3"/>
  <c r="R98" i="1"/>
  <c r="R21" i="3"/>
  <c r="T105" i="1" l="1"/>
  <c r="U13" i="1"/>
  <c r="T105" i="3"/>
  <c r="U13" i="3"/>
  <c r="U105" i="3" l="1"/>
  <c r="V13" i="3"/>
  <c r="V105" i="3" s="1"/>
  <c r="W13" i="3"/>
  <c r="W105" i="3" s="1"/>
  <c r="U105" i="1"/>
  <c r="V13" i="1"/>
  <c r="V105" i="1" s="1"/>
  <c r="W13" i="1"/>
  <c r="W105" i="1" l="1"/>
  <c r="B3" i="6"/>
  <c r="B4" i="6" s="1"/>
  <c r="B5" i="6" s="1"/>
  <c r="B6" i="6" s="1"/>
  <c r="B7" i="6" s="1"/>
  <c r="B8" i="6" s="1"/>
  <c r="B9" i="6" s="1"/>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B57" i="6" s="1"/>
  <c r="B58" i="6" s="1"/>
  <c r="B59" i="6" s="1"/>
  <c r="B60" i="6" s="1"/>
  <c r="B61" i="6" s="1"/>
  <c r="B62" i="6" s="1"/>
  <c r="B63" i="6" s="1"/>
  <c r="B64" i="6" s="1"/>
  <c r="B65" i="6" s="1"/>
  <c r="B66" i="6" s="1"/>
  <c r="B67" i="6" s="1"/>
  <c r="B68" i="6" s="1"/>
  <c r="B69" i="6" s="1"/>
  <c r="B70" i="6" s="1"/>
  <c r="B71" i="6" s="1"/>
  <c r="B72" i="6" s="1"/>
  <c r="B73" i="6" s="1"/>
  <c r="B74" i="6" s="1"/>
  <c r="B75" i="6" s="1"/>
  <c r="B76" i="6" s="1"/>
  <c r="B77" i="6" s="1"/>
  <c r="B78" i="6" s="1"/>
  <c r="B79" i="6" s="1"/>
  <c r="B80" i="6" s="1"/>
  <c r="B81" i="6" s="1"/>
  <c r="B82" i="6" s="1"/>
  <c r="B83" i="6" s="1"/>
  <c r="B84" i="6" s="1"/>
  <c r="B85" i="6" s="1"/>
  <c r="B86" i="6" s="1"/>
  <c r="B87" i="6" s="1"/>
  <c r="B88" i="6" s="1"/>
  <c r="B89" i="6" s="1"/>
  <c r="B90" i="6" s="1"/>
  <c r="B91" i="6" s="1"/>
  <c r="B92" i="6" s="1"/>
  <c r="B93" i="6" s="1"/>
  <c r="B94" i="6" s="1"/>
</calcChain>
</file>

<file path=xl/sharedStrings.xml><?xml version="1.0" encoding="utf-8"?>
<sst xmlns="http://schemas.openxmlformats.org/spreadsheetml/2006/main" count="159" uniqueCount="57">
  <si>
    <t>Year</t>
  </si>
  <si>
    <t xml:space="preserve">S&amp;P Composite
Price Index </t>
  </si>
  <si>
    <t>S&amp;P Composite
Dividends</t>
  </si>
  <si>
    <t>S&amp;P Composite
Earnings</t>
  </si>
  <si>
    <t>CPI Level
(Dec 31st)</t>
  </si>
  <si>
    <t>1 Year Treasury Yield (Annualized)</t>
  </si>
  <si>
    <t>5 Year Treasury Yield (Annualized)</t>
  </si>
  <si>
    <t xml:space="preserve">S&amp;P Composite
Price Index
(2024) </t>
  </si>
  <si>
    <t>S&amp;P Composite
Dividends
(2024)</t>
  </si>
  <si>
    <t>S&amp;P Composite
Earnings
(2024)</t>
  </si>
  <si>
    <t>10-Year Avg Real Earnings</t>
  </si>
  <si>
    <t>Real CAPE</t>
  </si>
  <si>
    <t>Nominal Annual Return</t>
  </si>
  <si>
    <t>Real Annual Return</t>
  </si>
  <si>
    <t>Future 1-Year Nominal Return</t>
  </si>
  <si>
    <t>Future 1-Year Real Return</t>
  </si>
  <si>
    <t>Future 5-Year Nominal Return</t>
  </si>
  <si>
    <t>Future 5-Year Real Return</t>
  </si>
  <si>
    <t>Previous Year CAPE</t>
  </si>
  <si>
    <t>S&amp;P 500 Weight</t>
  </si>
  <si>
    <t>T-bill Weight</t>
  </si>
  <si>
    <t>Strategy Return</t>
  </si>
  <si>
    <t>60/40 Benchmark Return</t>
  </si>
  <si>
    <t>Average</t>
  </si>
  <si>
    <t>Based on the regression results, CAPE has a negative relationship with future returns and stronger predictive power over longer horizons. Therefore, I use the previous year’s CAPE ratio as a signal for asset allocation. When CAPE is low, indicating undervaluation, I allocate 80% to the S&amp;P 500 and 20% to Treasury bills. When CAPE is between 15 and 25, I allocate 60% to equities and 40% to Treasury bills. When CAPE is high, indicating overvaluation, I reduce equity exposure to 30% and invest 70% in Treasury bills.
This strategy is based on the idea that investors should increase equity exposure when the market is undervalued and reduce exposure when it is overvalued. Based on my calculations, the strategy generates an average return of about 4%, compared to about 3% for the static 60/40 benchmark. Therefore, the CAPE-based market-timing strategy slightly outperforms the benchmark.</t>
  </si>
  <si>
    <t>Y1real</t>
  </si>
  <si>
    <t>Y5real</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</si>
  <si>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</si>
  <si>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</si>
  <si>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</si>
  <si>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</si>
  <si>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</si>
  <si>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</si>
  <si>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</si>
  <si>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</si>
  <si>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</si>
  <si>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</si>
  <si>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</si>
  <si>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</si>
  <si>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</si>
  <si>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</si>
  <si>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</si>
  <si>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</si>
  <si>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</si>
  <si>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</si>
  <si>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</si>
  <si>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</si>
  <si>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</si>
  <si>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</si>
  <si>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</si>
  <si>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</si>
  <si>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Y1normal</t>
  </si>
  <si>
    <t>y5 normal</t>
  </si>
  <si>
    <t>The regression results indicate a negative relationship between CAPE and future stock returns, as evidenced by the negative coefficient on CAPE. However, the predictive power is weak for 1-year returns, as the coefficient is not statistically significant, suggesting that short-term returns are largely driven by market noise.
In contrast, CAPE shows stronger predictive power for 5-year returns, with a more statistically significant relationship. This suggests that valuation effects take time to materialize, as mean reversion dominates in the long run. Economically, a high CAPE ratio reflects an overvalued market, which is associated with lower future returns, while a low CAPE indicates undervaluation and higher expected returns.</t>
  </si>
  <si>
    <t>CAPE Strategy</t>
  </si>
  <si>
    <t>60/40 Benchmark</t>
  </si>
  <si>
    <t>Growth of $1 Invested: CAPE Dynamic Allocation Strategy vs. 60/40 Benchmark (1932–2024)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</si>
</sst>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_);_(@_)"/>
    <numFmt numFmtId="177" formatCode="\$#,##0.00"/>
  </numFmts>
  <fonts count="16">
    <font>
      <sz val="11"/>
      <color theme="1"/>
      <name val="新細明體"/>
      <family val="2"/>
      <charset val="1"/>
    </font>
    <font>
      <sz val="10"/>
      <name val="Arial"/>
      <family val="2"/>
      <charset val="1"/>
    </font>
    <font>
      <sz val="10"/>
      <name val="Courier New"/>
      <family val="3"/>
      <charset val="1"/>
    </font>
    <font>
      <sz val="11"/>
      <color theme="1"/>
      <name val="Times New Roman"/>
      <family val="1"/>
      <charset val="1"/>
    </font>
    <font>
      <b/>
      <sz val="11"/>
      <name val="Times New Roman"/>
      <family val="1"/>
      <charset val="1"/>
    </font>
    <font>
      <sz val="14"/>
      <color rgb="FF000000"/>
      <name val="-webkit-standard"/>
      <charset val="1"/>
    </font>
    <font>
      <sz val="14"/>
      <color rgb="FF000000"/>
      <name val="Calibri"/>
      <family val="2"/>
      <charset val="1"/>
    </font>
    <font>
      <sz val="11"/>
      <name val="Times New Roman"/>
      <family val="1"/>
      <charset val="1"/>
    </font>
    <font>
      <sz val="14"/>
      <color theme="1"/>
      <name val="新細明體"/>
      <family val="2"/>
      <charset val="1"/>
    </font>
    <font>
      <b/>
      <sz val="12"/>
      <color rgb="FF000000"/>
      <name val="Calibri"/>
      <family val="2"/>
      <charset val="1"/>
    </font>
    <font>
      <sz val="12"/>
      <color rgb="FF000000"/>
      <name val="Calibri"/>
      <family val="2"/>
      <charset val="1"/>
    </font>
    <font>
      <b/>
      <sz val="11"/>
      <name val="Times New Roman"/>
      <family val="1"/>
    </font>
    <font>
      <b/>
      <sz val="12"/>
      <name val="Times New Roman"/>
      <family val="1"/>
    </font>
    <font>
      <sz val="11"/>
      <name val="Times New Roman"/>
      <family val="1"/>
    </font>
    <font>
      <sz val="11"/>
      <color theme="1"/>
      <name val="新細明體"/>
      <family val="2"/>
      <charset val="1"/>
    </font>
    <font>
      <sz val="9"/>
      <name val="細明體"/>
      <family val="3"/>
      <charset val="136"/>
    </font>
  </fonts>
  <fills count="4">
    <fill>
      <patternFill patternType="none"/>
    </fill>
    <fill>
      <patternFill patternType="gray125"/>
    </fill>
    <fill>
      <patternFill patternType="solid">
        <fgColor rgb="FFFFFF00"/>
        <bgColor rgb="FFFFFF00"/>
      </patternFill>
    </fill>
    <fill>
      <patternFill patternType="solid">
        <fgColor rgb="FFD9E1F2"/>
        <bgColor rgb="FFD9D9D9"/>
      </patternFill>
    </fill>
  </fills>
  <borders count="4">
    <border>
      <left/>
      <right/>
      <top/>
      <bottom/>
      <diagonal/>
    </border>
    <border>
      <left/>
      <right/>
      <top style="medium">
        <color auto="1"/>
      </top>
      <bottom style="thin">
        <color auto="1"/>
      </bottom>
      <diagonal/>
    </border>
    <border>
      <left/>
      <right/>
      <top/>
      <bottom style="medium">
        <color auto="1"/>
      </bottom>
      <diagonal/>
    </border>
    <border>
      <left/>
      <right/>
      <top/>
      <bottom style="thin">
        <color rgb="FFBFBFBF"/>
      </bottom>
      <diagonal/>
    </border>
  </borders>
  <cellStyleXfs count="4">
    <xf numFmtId="0" fontId="0" fillId="0" borderId="0"/>
    <xf numFmtId="9" fontId="14" fillId="0" borderId="0"/>
    <xf numFmtId="176" fontId="1" fillId="0" borderId="0"/>
    <xf numFmtId="0" fontId="2" fillId="0" borderId="0"/>
  </cellStyleXfs>
  <cellXfs count="42">
    <xf numFmtId="0" fontId="0" fillId="0" borderId="0" xfId="0"/>
    <xf numFmtId="0" fontId="0" fillId="0" borderId="0" xfId="0" applyAlignment="1">
      <alignment horizontal="left" vertical="center" wrapText="1"/>
    </xf>
    <xf numFmtId="0" fontId="10" fillId="0" borderId="1" xfId="0" applyFont="1" applyBorder="1" applyAlignment="1">
      <alignment horizontal="center" vertical="center"/>
    </xf>
    <xf numFmtId="0" fontId="0" fillId="0" borderId="0" xfId="0" applyAlignment="1">
      <alignment horizontal="center" wrapText="1"/>
    </xf>
    <xf numFmtId="0" fontId="3" fillId="0" borderId="0" xfId="0" applyFont="1"/>
    <xf numFmtId="2" fontId="3" fillId="0" borderId="0" xfId="0" applyNumberFormat="1" applyFont="1"/>
    <xf numFmtId="0" fontId="4" fillId="0" borderId="0" xfId="3" applyFont="1" applyAlignment="1">
      <alignment horizontal="center" vertical="center"/>
    </xf>
    <xf numFmtId="0" fontId="4" fillId="0" borderId="0" xfId="3" applyFont="1" applyAlignment="1">
      <alignment horizontal="center" vertical="center" wrapText="1"/>
    </xf>
    <xf numFmtId="2" fontId="4" fillId="0" borderId="0" xfId="3" applyNumberFormat="1" applyFont="1" applyAlignment="1">
      <alignment horizontal="center" vertical="center" wrapText="1"/>
    </xf>
    <xf numFmtId="0" fontId="5" fillId="0" borderId="0" xfId="0" applyFont="1" applyAlignment="1">
      <alignment horizontal="right" vertical="center"/>
    </xf>
    <xf numFmtId="0" fontId="6" fillId="0" borderId="0" xfId="0" applyFont="1" applyAlignment="1">
      <alignment horizontal="right" vertical="center"/>
    </xf>
    <xf numFmtId="0" fontId="7" fillId="0" borderId="0" xfId="3" applyFont="1" applyAlignment="1">
      <alignment horizontal="center" vertical="center"/>
    </xf>
    <xf numFmtId="2" fontId="7" fillId="0" borderId="0" xfId="3" applyNumberFormat="1" applyFont="1" applyAlignment="1">
      <alignment horizontal="center" vertical="center"/>
    </xf>
    <xf numFmtId="2" fontId="0" fillId="0" borderId="0" xfId="0" applyNumberFormat="1"/>
    <xf numFmtId="10" fontId="14" fillId="0" borderId="0" xfId="1" applyNumberFormat="1"/>
    <xf numFmtId="10" fontId="0" fillId="0" borderId="0" xfId="0" applyNumberFormat="1"/>
    <xf numFmtId="2" fontId="7" fillId="0" borderId="0" xfId="3" applyNumberFormat="1" applyFont="1" applyAlignment="1">
      <alignment horizontal="center"/>
    </xf>
    <xf numFmtId="10" fontId="7" fillId="0" borderId="0" xfId="3" applyNumberFormat="1" applyFont="1" applyAlignment="1">
      <alignment horizontal="center" vertical="center" wrapText="1"/>
    </xf>
    <xf numFmtId="10" fontId="7" fillId="0" borderId="0" xfId="3" applyNumberFormat="1" applyFont="1" applyAlignment="1">
      <alignment horizontal="center"/>
    </xf>
    <xf numFmtId="0" fontId="5" fillId="0" borderId="0" xfId="0" applyFont="1"/>
    <xf numFmtId="10" fontId="5" fillId="0" borderId="0" xfId="1" applyNumberFormat="1" applyFont="1"/>
    <xf numFmtId="9" fontId="14" fillId="0" borderId="0" xfId="1"/>
    <xf numFmtId="0" fontId="7" fillId="0" borderId="0" xfId="3" applyFont="1" applyAlignment="1">
      <alignment horizontal="center"/>
    </xf>
    <xf numFmtId="2" fontId="7" fillId="0" borderId="0" xfId="2" applyNumberFormat="1" applyFont="1" applyAlignment="1">
      <alignment horizontal="center"/>
    </xf>
    <xf numFmtId="0" fontId="3" fillId="0" borderId="0" xfId="0" applyFont="1" applyAlignment="1">
      <alignment horizontal="center"/>
    </xf>
    <xf numFmtId="0" fontId="3" fillId="2" borderId="0" xfId="0" applyFont="1" applyFill="1"/>
    <xf numFmtId="2" fontId="0" fillId="2" borderId="0" xfId="0" applyNumberFormat="1" applyFill="1"/>
    <xf numFmtId="10" fontId="0" fillId="2" borderId="0" xfId="0" applyNumberFormat="1" applyFill="1"/>
    <xf numFmtId="9" fontId="5" fillId="2" borderId="0" xfId="1" applyFont="1" applyFill="1"/>
    <xf numFmtId="0" fontId="0" fillId="0" borderId="0" xfId="0" applyAlignment="1">
      <alignment wrapText="1"/>
    </xf>
    <xf numFmtId="0" fontId="8" fillId="0" borderId="0" xfId="0" applyFont="1" applyAlignment="1">
      <alignment wrapText="1"/>
    </xf>
    <xf numFmtId="0" fontId="9" fillId="0" borderId="0" xfId="0" applyFont="1" applyAlignment="1">
      <alignment vertical="center"/>
    </xf>
    <xf numFmtId="0" fontId="10" fillId="0" borderId="1" xfId="0" applyFont="1" applyBorder="1" applyAlignment="1">
      <alignment horizontal="center" vertical="center"/>
    </xf>
    <xf numFmtId="0" fontId="10" fillId="0" borderId="0" xfId="0" applyFont="1" applyAlignment="1">
      <alignment vertical="center"/>
    </xf>
    <xf numFmtId="0" fontId="10" fillId="0" borderId="2" xfId="0" applyFont="1" applyBorder="1" applyAlignment="1">
      <alignment vertical="center"/>
    </xf>
    <xf numFmtId="0" fontId="0" fillId="0" borderId="2" xfId="0" applyBorder="1"/>
    <xf numFmtId="0" fontId="0" fillId="0" borderId="1" xfId="0" applyBorder="1" applyAlignment="1">
      <alignment horizontal="center"/>
    </xf>
    <xf numFmtId="0" fontId="0" fillId="0" borderId="0" xfId="0" applyAlignment="1">
      <alignment vertical="center"/>
    </xf>
    <xf numFmtId="0" fontId="11" fillId="3" borderId="3" xfId="0" applyFont="1" applyFill="1" applyBorder="1" applyAlignment="1">
      <alignment horizontal="center"/>
    </xf>
    <xf numFmtId="0" fontId="12" fillId="0" borderId="0" xfId="0" applyFont="1"/>
    <xf numFmtId="1" fontId="13" fillId="0" borderId="0" xfId="0" applyNumberFormat="1" applyFont="1"/>
    <xf numFmtId="177" fontId="13" fillId="0" borderId="0" xfId="0" applyNumberFormat="1" applyFont="1"/>
  </cellXfs>
  <cellStyles count="4">
    <cellStyle name="Comma 2" xfId="2" xr:uid="{00000000-0005-0000-0000-000006000000}"/>
    <cellStyle name="Normal 2" xfId="3" xr:uid="{00000000-0005-0000-0000-000007000000}"/>
    <cellStyle name="一般" xfId="0" builtinId="0"/>
    <cellStyle name="百分比" xfId="1"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CAPE vs 1-Year Return</a:t>
            </a:r>
          </a:p>
        </c:rich>
      </c:tx>
      <c:overlay val="0"/>
      <c:spPr>
        <a:noFill/>
        <a:ln w="0">
          <a:noFill/>
        </a:ln>
      </c:spPr>
    </c:title>
    <c:autoTitleDeleted val="0"/>
    <c:plotArea>
      <c:layout/>
      <c:scatterChart>
        <c:scatterStyle val="lineMarker"/>
        <c:varyColors val="0"/>
        <c:ser>
          <c:idx val="0"/>
          <c:order val="0"/>
          <c:tx>
            <c:v>CAPE vs 1-Year Return</c:v>
          </c:tx>
          <c:spPr>
            <a:ln w="25560">
              <a:noFill/>
            </a:ln>
          </c:spPr>
          <c:marker>
            <c:symbol val="circle"/>
            <c:size val="5"/>
            <c:spPr>
              <a:solidFill>
                <a:srgbClr val="4F81BD"/>
              </a:solidFill>
            </c:spPr>
          </c:marker>
          <c:dLbls>
            <c:spPr>
              <a:noFill/>
              <a:ln>
                <a:noFill/>
              </a:ln>
              <a:effectLst/>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4F81BD"/>
                </a:solidFill>
                <a:prstDash val="sysDot"/>
                <a:round/>
              </a:ln>
            </c:spPr>
            <c:trendlineType val="linear"/>
            <c:dispRSqr val="1"/>
            <c:dispEq val="1"/>
            <c:trendlineLbl>
              <c:numFmt formatCode="General" sourceLinked="0"/>
            </c:trendlineLbl>
          </c:trendline>
          <c:xVal>
            <c:numRef>
              <c:f>'RAW Data'!$L$12:$L$103</c:f>
              <c:numCache>
                <c:formatCode>0.00</c:formatCode>
                <c:ptCount val="92"/>
                <c:pt idx="0">
                  <c:v>8.700066784546058</c:v>
                </c:pt>
                <c:pt idx="1">
                  <c:v>13.335313908708033</c:v>
                </c:pt>
                <c:pt idx="2">
                  <c:v>11.882101744329299</c:v>
                </c:pt>
                <c:pt idx="3">
                  <c:v>17.591002332960272</c:v>
                </c:pt>
                <c:pt idx="4">
                  <c:v>22.057104672712242</c:v>
                </c:pt>
                <c:pt idx="5">
                  <c:v>13.450396198273232</c:v>
                </c:pt>
                <c:pt idx="6">
                  <c:v>16.264869327992802</c:v>
                </c:pt>
                <c:pt idx="7">
                  <c:v>16.907657428681187</c:v>
                </c:pt>
                <c:pt idx="8">
                  <c:v>14.015705373855965</c:v>
                </c:pt>
                <c:pt idx="9">
                  <c:v>10.162675781720877</c:v>
                </c:pt>
                <c:pt idx="10">
                  <c:v>10.008139278139584</c:v>
                </c:pt>
                <c:pt idx="11">
                  <c:v>11.033445502953949</c:v>
                </c:pt>
                <c:pt idx="12">
                  <c:v>11.974001840872075</c:v>
                </c:pt>
                <c:pt idx="13">
                  <c:v>15.70106818746037</c:v>
                </c:pt>
                <c:pt idx="14">
                  <c:v>11.653851921728972</c:v>
                </c:pt>
                <c:pt idx="15">
                  <c:v>10.609062350952101</c:v>
                </c:pt>
                <c:pt idx="16">
                  <c:v>9.8555895662098223</c:v>
                </c:pt>
                <c:pt idx="17">
                  <c:v>10.507588648360851</c:v>
                </c:pt>
                <c:pt idx="18">
                  <c:v>11.786043083413484</c:v>
                </c:pt>
                <c:pt idx="19">
                  <c:v>12.38455873795284</c:v>
                </c:pt>
                <c:pt idx="20">
                  <c:v>12.800376370264852</c:v>
                </c:pt>
                <c:pt idx="21">
                  <c:v>11.753025278882749</c:v>
                </c:pt>
                <c:pt idx="22">
                  <c:v>15.56185637961093</c:v>
                </c:pt>
                <c:pt idx="23">
                  <c:v>17.541767560668745</c:v>
                </c:pt>
                <c:pt idx="24">
                  <c:v>16.242950966596542</c:v>
                </c:pt>
                <c:pt idx="25">
                  <c:v>13.617816833734356</c:v>
                </c:pt>
                <c:pt idx="26">
                  <c:v>18.016762390306798</c:v>
                </c:pt>
                <c:pt idx="27">
                  <c:v>18.188265387683</c:v>
                </c:pt>
                <c:pt idx="28">
                  <c:v>18.532775949363128</c:v>
                </c:pt>
                <c:pt idx="29">
                  <c:v>21.014363699761283</c:v>
                </c:pt>
                <c:pt idx="30">
                  <c:v>18.999142565641318</c:v>
                </c:pt>
                <c:pt idx="31">
                  <c:v>21.269412895641679</c:v>
                </c:pt>
                <c:pt idx="32">
                  <c:v>22.900754583669237</c:v>
                </c:pt>
                <c:pt idx="33">
                  <c:v>23.791821824974676</c:v>
                </c:pt>
                <c:pt idx="34">
                  <c:v>20.075818315219163</c:v>
                </c:pt>
                <c:pt idx="35">
                  <c:v>21.284848838973648</c:v>
                </c:pt>
                <c:pt idx="36">
                  <c:v>20.837704994539653</c:v>
                </c:pt>
                <c:pt idx="37">
                  <c:v>16.90040872542156</c:v>
                </c:pt>
                <c:pt idx="38">
                  <c:v>16.351313364984392</c:v>
                </c:pt>
                <c:pt idx="39">
                  <c:v>17.110272790098023</c:v>
                </c:pt>
                <c:pt idx="40">
                  <c:v>18.584771577429326</c:v>
                </c:pt>
                <c:pt idx="41">
                  <c:v>13.457837019897791</c:v>
                </c:pt>
                <c:pt idx="42">
                  <c:v>8.8978372088680366</c:v>
                </c:pt>
                <c:pt idx="43">
                  <c:v>11.248874766195023</c:v>
                </c:pt>
                <c:pt idx="44">
                  <c:v>11.485005756979787</c:v>
                </c:pt>
                <c:pt idx="45">
                  <c:v>9.2497219929876273</c:v>
                </c:pt>
                <c:pt idx="46">
                  <c:v>9.2568725783032662</c:v>
                </c:pt>
                <c:pt idx="47">
                  <c:v>8.8600475861234518</c:v>
                </c:pt>
                <c:pt idx="48">
                  <c:v>9.2024955110667488</c:v>
                </c:pt>
                <c:pt idx="49">
                  <c:v>7.3433489910399317</c:v>
                </c:pt>
                <c:pt idx="50">
                  <c:v>8.8118709068522971</c:v>
                </c:pt>
                <c:pt idx="51">
                  <c:v>10.019446099397076</c:v>
                </c:pt>
                <c:pt idx="52">
                  <c:v>10.0223349655248</c:v>
                </c:pt>
                <c:pt idx="53">
                  <c:v>11.784400465150862</c:v>
                </c:pt>
                <c:pt idx="54">
                  <c:v>15.178173347682877</c:v>
                </c:pt>
                <c:pt idx="55">
                  <c:v>13.972923735881823</c:v>
                </c:pt>
                <c:pt idx="56">
                  <c:v>15.101301771632594</c:v>
                </c:pt>
                <c:pt idx="57">
                  <c:v>17.326016729626392</c:v>
                </c:pt>
                <c:pt idx="58">
                  <c:v>15.757825894326064</c:v>
                </c:pt>
                <c:pt idx="59">
                  <c:v>20.171593137850984</c:v>
                </c:pt>
                <c:pt idx="60">
                  <c:v>20.436572210957458</c:v>
                </c:pt>
                <c:pt idx="61">
                  <c:v>21.450189579941419</c:v>
                </c:pt>
                <c:pt idx="62">
                  <c:v>19.938013021574211</c:v>
                </c:pt>
                <c:pt idx="63">
                  <c:v>24.31291716135668</c:v>
                </c:pt>
                <c:pt idx="64">
                  <c:v>27.457503951945395</c:v>
                </c:pt>
                <c:pt idx="65">
                  <c:v>32.212205550237968</c:v>
                </c:pt>
                <c:pt idx="66">
                  <c:v>40.378001879469338</c:v>
                </c:pt>
                <c:pt idx="67">
                  <c:v>42.527140343643687</c:v>
                </c:pt>
                <c:pt idx="68">
                  <c:v>36.086115233914953</c:v>
                </c:pt>
                <c:pt idx="69">
                  <c:v>30.096837517862877</c:v>
                </c:pt>
                <c:pt idx="70">
                  <c:v>22.905343559622946</c:v>
                </c:pt>
                <c:pt idx="71">
                  <c:v>25.757833277767723</c:v>
                </c:pt>
                <c:pt idx="72">
                  <c:v>26.481528551873424</c:v>
                </c:pt>
                <c:pt idx="73">
                  <c:v>25.511522801101489</c:v>
                </c:pt>
                <c:pt idx="74">
                  <c:v>26.254056199175576</c:v>
                </c:pt>
                <c:pt idx="75">
                  <c:v>25.681675888988963</c:v>
                </c:pt>
                <c:pt idx="76">
                  <c:v>15.831491712331333</c:v>
                </c:pt>
                <c:pt idx="77">
                  <c:v>19.879342491510432</c:v>
                </c:pt>
                <c:pt idx="78">
                  <c:v>21.358488900285771</c:v>
                </c:pt>
                <c:pt idx="79">
                  <c:v>19.013364547034385</c:v>
                </c:pt>
                <c:pt idx="80">
                  <c:v>19.842320163649454</c:v>
                </c:pt>
                <c:pt idx="81">
                  <c:v>23.59630476558446</c:v>
                </c:pt>
                <c:pt idx="82">
                  <c:v>25.614689105838416</c:v>
                </c:pt>
                <c:pt idx="83">
                  <c:v>25.348872351270419</c:v>
                </c:pt>
                <c:pt idx="84">
                  <c:v>27.259395064478618</c:v>
                </c:pt>
                <c:pt idx="85">
                  <c:v>30.493069861530067</c:v>
                </c:pt>
                <c:pt idx="86">
                  <c:v>25.891359447664765</c:v>
                </c:pt>
                <c:pt idx="87">
                  <c:v>29.063279164757819</c:v>
                </c:pt>
                <c:pt idx="88">
                  <c:v>33.286888351936867</c:v>
                </c:pt>
                <c:pt idx="89">
                  <c:v>36.558704240094748</c:v>
                </c:pt>
                <c:pt idx="90">
                  <c:v>27.510184112520811</c:v>
                </c:pt>
                <c:pt idx="91">
                  <c:v>30.613776992537893</c:v>
                </c:pt>
              </c:numCache>
            </c:numRef>
          </c:xVal>
          <c:yVal>
            <c:numRef>
              <c:f>'RAW Data'!$P$12:$P$103</c:f>
              <c:numCache>
                <c:formatCode>0.00%</c:formatCode>
                <c:ptCount val="92"/>
                <c:pt idx="0">
                  <c:v>0.5369278112578536</c:v>
                </c:pt>
                <c:pt idx="1">
                  <c:v>-9.2497663485230378E-2</c:v>
                </c:pt>
                <c:pt idx="2">
                  <c:v>0.49217453908035191</c:v>
                </c:pt>
                <c:pt idx="3">
                  <c:v>0.31165905315614612</c:v>
                </c:pt>
                <c:pt idx="4">
                  <c:v>-0.33066451898174476</c:v>
                </c:pt>
                <c:pt idx="5">
                  <c:v>0.18317544524441093</c:v>
                </c:pt>
                <c:pt idx="6">
                  <c:v>3.3600000000000088E-2</c:v>
                </c:pt>
                <c:pt idx="7">
                  <c:v>-9.427434699878931E-2</c:v>
                </c:pt>
                <c:pt idx="8">
                  <c:v>-0.16878764714875405</c:v>
                </c:pt>
                <c:pt idx="9">
                  <c:v>9.6894319394104242E-2</c:v>
                </c:pt>
                <c:pt idx="10">
                  <c:v>0.19940079514256739</c:v>
                </c:pt>
                <c:pt idx="11">
                  <c:v>0.16560944389133819</c:v>
                </c:pt>
                <c:pt idx="12">
                  <c:v>0.35429581537809873</c:v>
                </c:pt>
                <c:pt idx="13">
                  <c:v>-0.25213845081692171</c:v>
                </c:pt>
                <c:pt idx="14">
                  <c:v>-5.3408969582539607E-2</c:v>
                </c:pt>
                <c:pt idx="15">
                  <c:v>6.6543929401823437E-2</c:v>
                </c:pt>
                <c:pt idx="16">
                  <c:v>0.19803253001412438</c:v>
                </c:pt>
                <c:pt idx="17">
                  <c:v>0.26836018957345992</c:v>
                </c:pt>
                <c:pt idx="18">
                  <c:v>0.13865834022755369</c:v>
                </c:pt>
                <c:pt idx="19">
                  <c:v>0.13201047264709925</c:v>
                </c:pt>
                <c:pt idx="20">
                  <c:v>2.0241621488068164E-2</c:v>
                </c:pt>
                <c:pt idx="21">
                  <c:v>0.46968586988181499</c:v>
                </c:pt>
                <c:pt idx="22">
                  <c:v>0.28143656716417892</c:v>
                </c:pt>
                <c:pt idx="23">
                  <c:v>3.7434963152625213E-2</c:v>
                </c:pt>
                <c:pt idx="24">
                  <c:v>-8.2076433950389396E-2</c:v>
                </c:pt>
                <c:pt idx="25">
                  <c:v>0.37104667914316092</c:v>
                </c:pt>
                <c:pt idx="26">
                  <c:v>5.7928313360583565E-2</c:v>
                </c:pt>
                <c:pt idx="27">
                  <c:v>4.8461395228341475E-2</c:v>
                </c:pt>
                <c:pt idx="28">
                  <c:v>0.18245255637419061</c:v>
                </c:pt>
                <c:pt idx="29">
                  <c:v>-4.0018516684065579E-2</c:v>
                </c:pt>
                <c:pt idx="30">
                  <c:v>0.19053261266423741</c:v>
                </c:pt>
                <c:pt idx="31">
                  <c:v>0.14804296423001462</c:v>
                </c:pt>
                <c:pt idx="32">
                  <c:v>9.4146824527425149E-2</c:v>
                </c:pt>
                <c:pt idx="33">
                  <c:v>-9.5579872244015568E-2</c:v>
                </c:pt>
                <c:pt idx="34">
                  <c:v>0.1257587268653145</c:v>
                </c:pt>
                <c:pt idx="35">
                  <c:v>5.610951059894731E-2</c:v>
                </c:pt>
                <c:pt idx="36">
                  <c:v>-0.1374410305627275</c:v>
                </c:pt>
                <c:pt idx="37">
                  <c:v>1.3524882746141333E-2</c:v>
                </c:pt>
                <c:pt idx="38">
                  <c:v>0.1017809261253074</c:v>
                </c:pt>
                <c:pt idx="39">
                  <c:v>0.1380962359774501</c:v>
                </c:pt>
                <c:pt idx="40">
                  <c:v>-0.22713911377143942</c:v>
                </c:pt>
                <c:pt idx="41">
                  <c:v>-0.29460402729771928</c:v>
                </c:pt>
                <c:pt idx="42">
                  <c:v>0.29573437825918525</c:v>
                </c:pt>
                <c:pt idx="43">
                  <c:v>6.190569447667043E-2</c:v>
                </c:pt>
                <c:pt idx="44">
                  <c:v>-0.14306097120017197</c:v>
                </c:pt>
                <c:pt idx="45">
                  <c:v>6.4962008535292923E-2</c:v>
                </c:pt>
                <c:pt idx="46">
                  <c:v>3.1466350199150034E-2</c:v>
                </c:pt>
                <c:pt idx="47">
                  <c:v>0.11529898210518903</c:v>
                </c:pt>
                <c:pt idx="48">
                  <c:v>-0.14446923718195903</c:v>
                </c:pt>
                <c:pt idx="49">
                  <c:v>0.24117636369735859</c:v>
                </c:pt>
                <c:pt idx="50">
                  <c:v>0.15854725882444137</c:v>
                </c:pt>
                <c:pt idx="51">
                  <c:v>3.5729681641896056E-2</c:v>
                </c:pt>
                <c:pt idx="52">
                  <c:v>0.21311029236966947</c:v>
                </c:pt>
                <c:pt idx="53">
                  <c:v>0.29606405043774203</c:v>
                </c:pt>
                <c:pt idx="54">
                  <c:v>-6.1357657699626672E-2</c:v>
                </c:pt>
                <c:pt idx="55">
                  <c:v>0.128427808648888</c:v>
                </c:pt>
                <c:pt idx="56">
                  <c:v>0.17526184418920032</c:v>
                </c:pt>
                <c:pt idx="57">
                  <c:v>-6.4118600458591635E-2</c:v>
                </c:pt>
                <c:pt idx="58">
                  <c:v>0.27664058975481459</c:v>
                </c:pt>
                <c:pt idx="59">
                  <c:v>4.5453715533373885E-2</c:v>
                </c:pt>
                <c:pt idx="60">
                  <c:v>8.5820145802479486E-2</c:v>
                </c:pt>
                <c:pt idx="61">
                  <c:v>-1.4850437041867363E-2</c:v>
                </c:pt>
                <c:pt idx="62">
                  <c:v>0.31683658570310885</c:v>
                </c:pt>
                <c:pt idx="63">
                  <c:v>0.23043198081845748</c:v>
                </c:pt>
                <c:pt idx="64">
                  <c:v>0.25613383454882077</c:v>
                </c:pt>
                <c:pt idx="65">
                  <c:v>0.29225145512163603</c:v>
                </c:pt>
                <c:pt idx="66">
                  <c:v>0.12476543585554851</c:v>
                </c:pt>
                <c:pt idx="67">
                  <c:v>-8.5945056989108565E-2</c:v>
                </c:pt>
                <c:pt idx="68">
                  <c:v>-0.14474320437971439</c:v>
                </c:pt>
                <c:pt idx="69">
                  <c:v>-0.21879481832381323</c:v>
                </c:pt>
                <c:pt idx="70">
                  <c:v>0.20308687084363267</c:v>
                </c:pt>
                <c:pt idx="71">
                  <c:v>9.2155559399921858E-2</c:v>
                </c:pt>
                <c:pt idx="72">
                  <c:v>3.5574991171355812E-2</c:v>
                </c:pt>
                <c:pt idx="73">
                  <c:v>0.11371706791294628</c:v>
                </c:pt>
                <c:pt idx="74">
                  <c:v>2.2196090198230045E-2</c:v>
                </c:pt>
                <c:pt idx="75">
                  <c:v>-0.38810819136040203</c:v>
                </c:pt>
                <c:pt idx="76">
                  <c:v>0.25664309270260965</c:v>
                </c:pt>
                <c:pt idx="77">
                  <c:v>0.12180409988517221</c:v>
                </c:pt>
                <c:pt idx="78">
                  <c:v>-6.6958118505580592E-3</c:v>
                </c:pt>
                <c:pt idx="79">
                  <c:v>0.14907392707116376</c:v>
                </c:pt>
                <c:pt idx="80">
                  <c:v>0.27646675516619368</c:v>
                </c:pt>
                <c:pt idx="81">
                  <c:v>0.14947070130956375</c:v>
                </c:pt>
                <c:pt idx="82">
                  <c:v>1.3634702384616634E-2</c:v>
                </c:pt>
                <c:pt idx="83">
                  <c:v>9.3306684011246088E-2</c:v>
                </c:pt>
                <c:pt idx="84">
                  <c:v>0.18276124385600817</c:v>
                </c:pt>
                <c:pt idx="85">
                  <c:v>-3.4683256239244731E-2</c:v>
                </c:pt>
                <c:pt idx="86">
                  <c:v>0.23191875134547438</c:v>
                </c:pt>
                <c:pt idx="87">
                  <c:v>0.16570465770989562</c:v>
                </c:pt>
                <c:pt idx="88">
                  <c:v>0.19716270381459264</c:v>
                </c:pt>
                <c:pt idx="89">
                  <c:v>-0.20038181522208257</c:v>
                </c:pt>
                <c:pt idx="90">
                  <c:v>0.17604089529919906</c:v>
                </c:pt>
                <c:pt idx="91">
                  <c:v>0.26250793717632159</c:v>
                </c:pt>
              </c:numCache>
            </c:numRef>
          </c:yVal>
          <c:smooth val="0"/>
          <c:extLst>
            <c:ext xmlns:c16="http://schemas.microsoft.com/office/drawing/2014/chart" uri="{C3380CC4-5D6E-409C-BE32-E72D297353CC}">
              <c16:uniqueId val="{00000001-2654-4928-BF1F-2D13D1BCF695}"/>
            </c:ext>
          </c:extLst>
        </c:ser>
        <c:dLbls>
          <c:showLegendKey val="0"/>
          <c:showVal val="0"/>
          <c:showCatName val="0"/>
          <c:showSerName val="0"/>
          <c:showPercent val="0"/>
          <c:showBubbleSize val="0"/>
        </c:dLbls>
        <c:axId val="37641450"/>
        <c:axId val="86292304"/>
      </c:scatterChart>
      <c:valAx>
        <c:axId val="37641450"/>
        <c:scaling>
          <c:orientation val="minMax"/>
        </c:scaling>
        <c:delete val="0"/>
        <c:axPos val="b"/>
        <c:majorGridlines>
          <c:spPr>
            <a:ln w="9360">
              <a:solidFill>
                <a:srgbClr val="D9D9D9"/>
              </a:solidFill>
              <a:round/>
            </a:ln>
          </c:spPr>
        </c:majorGridlines>
        <c:title>
          <c:tx>
            <c:rich>
              <a:bodyPr rot="0"/>
              <a:lstStyle/>
              <a:p>
                <a:pPr>
                  <a:defRPr lang="en-US" sz="1000" b="0" strike="noStrike" spc="-1">
                    <a:solidFill>
                      <a:srgbClr val="595959"/>
                    </a:solidFill>
                    <a:latin typeface="Calibri"/>
                  </a:defRPr>
                </a:pPr>
                <a:r>
                  <a:rPr lang="en-US" sz="1000" b="0" strike="noStrike" spc="-1">
                    <a:solidFill>
                      <a:srgbClr val="595959"/>
                    </a:solidFill>
                    <a:latin typeface="Calibri"/>
                  </a:rPr>
                  <a:t>Real CAPE</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zh-TW"/>
          </a:p>
        </c:txPr>
        <c:crossAx val="86292304"/>
        <c:crosses val="autoZero"/>
        <c:crossBetween val="midCat"/>
      </c:valAx>
      <c:valAx>
        <c:axId val="86292304"/>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Calibri"/>
                  </a:defRPr>
                </a:pPr>
                <a:r>
                  <a:rPr lang="en-US" sz="1000" b="0" strike="noStrike" spc="-1">
                    <a:solidFill>
                      <a:srgbClr val="595959"/>
                    </a:solidFill>
                    <a:latin typeface="Calibri"/>
                  </a:rPr>
                  <a:t>Future 1-Year Real Return</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zh-TW"/>
          </a:p>
        </c:txPr>
        <c:crossAx val="37641450"/>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CAPE vs 5-Year Return</a:t>
            </a:r>
          </a:p>
        </c:rich>
      </c:tx>
      <c:overlay val="0"/>
      <c:spPr>
        <a:noFill/>
        <a:ln w="0">
          <a:noFill/>
        </a:ln>
      </c:spPr>
    </c:title>
    <c:autoTitleDeleted val="0"/>
    <c:plotArea>
      <c:layout/>
      <c:scatterChart>
        <c:scatterStyle val="lineMarker"/>
        <c:varyColors val="0"/>
        <c:ser>
          <c:idx val="0"/>
          <c:order val="0"/>
          <c:tx>
            <c:v>CAPE vs 5-Year Return</c:v>
          </c:tx>
          <c:spPr>
            <a:ln w="25560">
              <a:noFill/>
            </a:ln>
          </c:spPr>
          <c:marker>
            <c:symbol val="circle"/>
            <c:size val="5"/>
            <c:spPr>
              <a:solidFill>
                <a:srgbClr val="4F81BD"/>
              </a:solidFill>
            </c:spPr>
          </c:marker>
          <c:dLbls>
            <c:spPr>
              <a:noFill/>
              <a:ln>
                <a:noFill/>
              </a:ln>
              <a:effectLst/>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4F81BD"/>
                </a:solidFill>
                <a:prstDash val="sysDot"/>
                <a:round/>
              </a:ln>
            </c:spPr>
            <c:trendlineType val="linear"/>
            <c:dispRSqr val="1"/>
            <c:dispEq val="1"/>
            <c:trendlineLbl>
              <c:numFmt formatCode="General" sourceLinked="0"/>
            </c:trendlineLbl>
          </c:trendline>
          <c:xVal>
            <c:numRef>
              <c:f>'RAW Data'!$L$12:$L$99</c:f>
              <c:numCache>
                <c:formatCode>0.00</c:formatCode>
                <c:ptCount val="88"/>
                <c:pt idx="0">
                  <c:v>8.700066784546058</c:v>
                </c:pt>
                <c:pt idx="1">
                  <c:v>13.335313908708033</c:v>
                </c:pt>
                <c:pt idx="2">
                  <c:v>11.882101744329299</c:v>
                </c:pt>
                <c:pt idx="3">
                  <c:v>17.591002332960272</c:v>
                </c:pt>
                <c:pt idx="4">
                  <c:v>22.057104672712242</c:v>
                </c:pt>
                <c:pt idx="5">
                  <c:v>13.450396198273232</c:v>
                </c:pt>
                <c:pt idx="6">
                  <c:v>16.264869327992802</c:v>
                </c:pt>
                <c:pt idx="7">
                  <c:v>16.907657428681187</c:v>
                </c:pt>
                <c:pt idx="8">
                  <c:v>14.015705373855965</c:v>
                </c:pt>
                <c:pt idx="9">
                  <c:v>10.162675781720877</c:v>
                </c:pt>
                <c:pt idx="10">
                  <c:v>10.008139278139584</c:v>
                </c:pt>
                <c:pt idx="11">
                  <c:v>11.033445502953949</c:v>
                </c:pt>
                <c:pt idx="12">
                  <c:v>11.974001840872075</c:v>
                </c:pt>
                <c:pt idx="13">
                  <c:v>15.70106818746037</c:v>
                </c:pt>
                <c:pt idx="14">
                  <c:v>11.653851921728972</c:v>
                </c:pt>
                <c:pt idx="15">
                  <c:v>10.609062350952101</c:v>
                </c:pt>
                <c:pt idx="16">
                  <c:v>9.8555895662098223</c:v>
                </c:pt>
                <c:pt idx="17">
                  <c:v>10.507588648360851</c:v>
                </c:pt>
                <c:pt idx="18">
                  <c:v>11.786043083413484</c:v>
                </c:pt>
                <c:pt idx="19">
                  <c:v>12.38455873795284</c:v>
                </c:pt>
                <c:pt idx="20">
                  <c:v>12.800376370264852</c:v>
                </c:pt>
                <c:pt idx="21">
                  <c:v>11.753025278882749</c:v>
                </c:pt>
                <c:pt idx="22">
                  <c:v>15.56185637961093</c:v>
                </c:pt>
                <c:pt idx="23">
                  <c:v>17.541767560668745</c:v>
                </c:pt>
                <c:pt idx="24">
                  <c:v>16.242950966596542</c:v>
                </c:pt>
                <c:pt idx="25">
                  <c:v>13.617816833734356</c:v>
                </c:pt>
                <c:pt idx="26">
                  <c:v>18.016762390306798</c:v>
                </c:pt>
                <c:pt idx="27">
                  <c:v>18.188265387683</c:v>
                </c:pt>
                <c:pt idx="28">
                  <c:v>18.532775949363128</c:v>
                </c:pt>
                <c:pt idx="29">
                  <c:v>21.014363699761283</c:v>
                </c:pt>
                <c:pt idx="30">
                  <c:v>18.999142565641318</c:v>
                </c:pt>
                <c:pt idx="31">
                  <c:v>21.269412895641679</c:v>
                </c:pt>
                <c:pt idx="32">
                  <c:v>22.900754583669237</c:v>
                </c:pt>
                <c:pt idx="33">
                  <c:v>23.791821824974676</c:v>
                </c:pt>
                <c:pt idx="34">
                  <c:v>20.075818315219163</c:v>
                </c:pt>
                <c:pt idx="35">
                  <c:v>21.284848838973648</c:v>
                </c:pt>
                <c:pt idx="36">
                  <c:v>20.837704994539653</c:v>
                </c:pt>
                <c:pt idx="37">
                  <c:v>16.90040872542156</c:v>
                </c:pt>
                <c:pt idx="38">
                  <c:v>16.351313364984392</c:v>
                </c:pt>
                <c:pt idx="39">
                  <c:v>17.110272790098023</c:v>
                </c:pt>
                <c:pt idx="40">
                  <c:v>18.584771577429326</c:v>
                </c:pt>
                <c:pt idx="41">
                  <c:v>13.457837019897791</c:v>
                </c:pt>
                <c:pt idx="42">
                  <c:v>8.8978372088680366</c:v>
                </c:pt>
                <c:pt idx="43">
                  <c:v>11.248874766195023</c:v>
                </c:pt>
                <c:pt idx="44">
                  <c:v>11.485005756979787</c:v>
                </c:pt>
                <c:pt idx="45">
                  <c:v>9.2497219929876273</c:v>
                </c:pt>
                <c:pt idx="46">
                  <c:v>9.2568725783032662</c:v>
                </c:pt>
                <c:pt idx="47">
                  <c:v>8.8600475861234518</c:v>
                </c:pt>
                <c:pt idx="48">
                  <c:v>9.2024955110667488</c:v>
                </c:pt>
                <c:pt idx="49">
                  <c:v>7.3433489910399317</c:v>
                </c:pt>
                <c:pt idx="50">
                  <c:v>8.8118709068522971</c:v>
                </c:pt>
                <c:pt idx="51">
                  <c:v>10.019446099397076</c:v>
                </c:pt>
                <c:pt idx="52">
                  <c:v>10.0223349655248</c:v>
                </c:pt>
                <c:pt idx="53">
                  <c:v>11.784400465150862</c:v>
                </c:pt>
                <c:pt idx="54">
                  <c:v>15.178173347682877</c:v>
                </c:pt>
                <c:pt idx="55">
                  <c:v>13.972923735881823</c:v>
                </c:pt>
                <c:pt idx="56">
                  <c:v>15.101301771632594</c:v>
                </c:pt>
                <c:pt idx="57">
                  <c:v>17.326016729626392</c:v>
                </c:pt>
                <c:pt idx="58">
                  <c:v>15.757825894326064</c:v>
                </c:pt>
                <c:pt idx="59">
                  <c:v>20.171593137850984</c:v>
                </c:pt>
                <c:pt idx="60">
                  <c:v>20.436572210957458</c:v>
                </c:pt>
                <c:pt idx="61">
                  <c:v>21.450189579941419</c:v>
                </c:pt>
                <c:pt idx="62">
                  <c:v>19.938013021574211</c:v>
                </c:pt>
                <c:pt idx="63">
                  <c:v>24.31291716135668</c:v>
                </c:pt>
                <c:pt idx="64">
                  <c:v>27.457503951945395</c:v>
                </c:pt>
                <c:pt idx="65">
                  <c:v>32.212205550237968</c:v>
                </c:pt>
                <c:pt idx="66">
                  <c:v>40.378001879469338</c:v>
                </c:pt>
                <c:pt idx="67">
                  <c:v>42.527140343643687</c:v>
                </c:pt>
                <c:pt idx="68">
                  <c:v>36.086115233914953</c:v>
                </c:pt>
                <c:pt idx="69">
                  <c:v>30.096837517862877</c:v>
                </c:pt>
                <c:pt idx="70">
                  <c:v>22.905343559622946</c:v>
                </c:pt>
                <c:pt idx="71">
                  <c:v>25.757833277767723</c:v>
                </c:pt>
                <c:pt idx="72">
                  <c:v>26.481528551873424</c:v>
                </c:pt>
                <c:pt idx="73">
                  <c:v>25.511522801101489</c:v>
                </c:pt>
                <c:pt idx="74">
                  <c:v>26.254056199175576</c:v>
                </c:pt>
                <c:pt idx="75">
                  <c:v>25.681675888988963</c:v>
                </c:pt>
                <c:pt idx="76">
                  <c:v>15.831491712331333</c:v>
                </c:pt>
                <c:pt idx="77">
                  <c:v>19.879342491510432</c:v>
                </c:pt>
                <c:pt idx="78">
                  <c:v>21.358488900285771</c:v>
                </c:pt>
                <c:pt idx="79">
                  <c:v>19.013364547034385</c:v>
                </c:pt>
                <c:pt idx="80">
                  <c:v>19.842320163649454</c:v>
                </c:pt>
                <c:pt idx="81">
                  <c:v>23.59630476558446</c:v>
                </c:pt>
                <c:pt idx="82">
                  <c:v>25.614689105838416</c:v>
                </c:pt>
                <c:pt idx="83">
                  <c:v>25.348872351270419</c:v>
                </c:pt>
                <c:pt idx="84">
                  <c:v>27.259395064478618</c:v>
                </c:pt>
                <c:pt idx="85">
                  <c:v>30.493069861530067</c:v>
                </c:pt>
                <c:pt idx="86">
                  <c:v>25.891359447664765</c:v>
                </c:pt>
                <c:pt idx="87">
                  <c:v>29.063279164757819</c:v>
                </c:pt>
              </c:numCache>
            </c:numRef>
          </c:xVal>
          <c:yVal>
            <c:numRef>
              <c:f>'RAW Data'!$R$12:$R$99</c:f>
              <c:numCache>
                <c:formatCode>0.00%</c:formatCode>
                <c:ptCount val="88"/>
                <c:pt idx="0">
                  <c:v>0.12812475950575197</c:v>
                </c:pt>
                <c:pt idx="1">
                  <c:v>7.0622254818809127E-2</c:v>
                </c:pt>
                <c:pt idx="2">
                  <c:v>9.8846973831529406E-2</c:v>
                </c:pt>
                <c:pt idx="3">
                  <c:v>-5.5736464870561608E-3</c:v>
                </c:pt>
                <c:pt idx="4">
                  <c:v>-9.2282244376987066E-2</c:v>
                </c:pt>
                <c:pt idx="5">
                  <c:v>1.9706924982221263E-3</c:v>
                </c:pt>
                <c:pt idx="6">
                  <c:v>4.7038247121615751E-3</c:v>
                </c:pt>
                <c:pt idx="7">
                  <c:v>2.9148787944441423E-2</c:v>
                </c:pt>
                <c:pt idx="8">
                  <c:v>0.11537662959632611</c:v>
                </c:pt>
                <c:pt idx="9">
                  <c:v>9.2052163846794155E-2</c:v>
                </c:pt>
                <c:pt idx="10">
                  <c:v>6.0334526865091664E-2</c:v>
                </c:pt>
                <c:pt idx="11">
                  <c:v>3.5728165033434234E-2</c:v>
                </c:pt>
                <c:pt idx="12">
                  <c:v>4.1427153478462264E-2</c:v>
                </c:pt>
                <c:pt idx="13">
                  <c:v>2.7861762415989366E-2</c:v>
                </c:pt>
                <c:pt idx="14">
                  <c:v>0.11801892613354781</c:v>
                </c:pt>
                <c:pt idx="15">
                  <c:v>0.1587420497509433</c:v>
                </c:pt>
                <c:pt idx="16">
                  <c:v>0.14850165454852715</c:v>
                </c:pt>
                <c:pt idx="17">
                  <c:v>0.19641763770224419</c:v>
                </c:pt>
                <c:pt idx="18">
                  <c:v>0.19887446156163557</c:v>
                </c:pt>
                <c:pt idx="19">
                  <c:v>0.17675810630337208</c:v>
                </c:pt>
                <c:pt idx="20">
                  <c:v>0.12843984785941909</c:v>
                </c:pt>
                <c:pt idx="21">
                  <c:v>0.19714913086964669</c:v>
                </c:pt>
                <c:pt idx="22">
                  <c:v>0.12097157179742202</c:v>
                </c:pt>
                <c:pt idx="23">
                  <c:v>7.6875918331388293E-2</c:v>
                </c:pt>
                <c:pt idx="24">
                  <c:v>0.10542742252075765</c:v>
                </c:pt>
                <c:pt idx="25">
                  <c:v>0.11537652885719596</c:v>
                </c:pt>
                <c:pt idx="26">
                  <c:v>8.432460421872201E-2</c:v>
                </c:pt>
                <c:pt idx="27">
                  <c:v>0.10219818768579891</c:v>
                </c:pt>
                <c:pt idx="28">
                  <c:v>0.11164040712762446</c:v>
                </c:pt>
                <c:pt idx="29">
                  <c:v>5.3614220202263363E-2</c:v>
                </c:pt>
                <c:pt idx="30">
                  <c:v>8.772251131575004E-2</c:v>
                </c:pt>
                <c:pt idx="31">
                  <c:v>6.1968532165026735E-2</c:v>
                </c:pt>
                <c:pt idx="32">
                  <c:v>2.9465272467041892E-3</c:v>
                </c:pt>
                <c:pt idx="33">
                  <c:v>-1.2289794421462497E-2</c:v>
                </c:pt>
                <c:pt idx="34">
                  <c:v>2.7482768683575243E-2</c:v>
                </c:pt>
                <c:pt idx="35">
                  <c:v>2.9725055571925507E-2</c:v>
                </c:pt>
                <c:pt idx="36">
                  <c:v>-3.2614095199838822E-2</c:v>
                </c:pt>
                <c:pt idx="37">
                  <c:v>-7.0758512596769907E-2</c:v>
                </c:pt>
                <c:pt idx="38">
                  <c:v>-2.3966094344471056E-2</c:v>
                </c:pt>
                <c:pt idx="39">
                  <c:v>-3.1135497190969308E-2</c:v>
                </c:pt>
                <c:pt idx="40">
                  <c:v>-8.4586671000937197E-2</c:v>
                </c:pt>
                <c:pt idx="41">
                  <c:v>-2.3968601343904772E-2</c:v>
                </c:pt>
                <c:pt idx="42">
                  <c:v>5.3096590604406302E-2</c:v>
                </c:pt>
                <c:pt idx="43">
                  <c:v>2.1982058567094453E-2</c:v>
                </c:pt>
                <c:pt idx="44">
                  <c:v>-2.1246771281970278E-2</c:v>
                </c:pt>
                <c:pt idx="45">
                  <c:v>5.4022598682240464E-2</c:v>
                </c:pt>
                <c:pt idx="46">
                  <c:v>7.1928579728339326E-2</c:v>
                </c:pt>
                <c:pt idx="47">
                  <c:v>7.2813232902102509E-2</c:v>
                </c:pt>
                <c:pt idx="48">
                  <c:v>9.1002932972087391E-2</c:v>
                </c:pt>
                <c:pt idx="49">
                  <c:v>0.18550689703437495</c:v>
                </c:pt>
                <c:pt idx="50">
                  <c:v>0.12108208855846558</c:v>
                </c:pt>
                <c:pt idx="51">
                  <c:v>0.11519141941190836</c:v>
                </c:pt>
                <c:pt idx="52">
                  <c:v>0.14373934716565939</c:v>
                </c:pt>
                <c:pt idx="53">
                  <c:v>8.590333704374209E-2</c:v>
                </c:pt>
                <c:pt idx="54">
                  <c:v>8.2628871119756031E-2</c:v>
                </c:pt>
                <c:pt idx="55">
                  <c:v>0.10621753495786357</c:v>
                </c:pt>
                <c:pt idx="56">
                  <c:v>9.7734620549208895E-2</c:v>
                </c:pt>
                <c:pt idx="57">
                  <c:v>5.9670557339268182E-2</c:v>
                </c:pt>
                <c:pt idx="58">
                  <c:v>0.13457466455035316</c:v>
                </c:pt>
                <c:pt idx="59">
                  <c:v>0.12623980803609158</c:v>
                </c:pt>
                <c:pt idx="60">
                  <c:v>0.16836111496389083</c:v>
                </c:pt>
                <c:pt idx="61">
                  <c:v>0.20974802410196536</c:v>
                </c:pt>
                <c:pt idx="62">
                  <c:v>0.24224392059699973</c:v>
                </c:pt>
                <c:pt idx="63">
                  <c:v>0.15476859289363532</c:v>
                </c:pt>
                <c:pt idx="64">
                  <c:v>7.374894010752775E-2</c:v>
                </c:pt>
                <c:pt idx="65">
                  <c:v>-2.3553195563267848E-2</c:v>
                </c:pt>
                <c:pt idx="66">
                  <c:v>-3.7416129922412833E-2</c:v>
                </c:pt>
                <c:pt idx="67">
                  <c:v>-4.3063571080139362E-2</c:v>
                </c:pt>
                <c:pt idx="68">
                  <c:v>-1.8873653344566144E-2</c:v>
                </c:pt>
                <c:pt idx="69">
                  <c:v>3.4333537353518961E-2</c:v>
                </c:pt>
                <c:pt idx="70">
                  <c:v>9.1476592963270154E-2</c:v>
                </c:pt>
                <c:pt idx="71">
                  <c:v>-4.6567488661511613E-2</c:v>
                </c:pt>
                <c:pt idx="72">
                  <c:v>-1.9437124890895774E-2</c:v>
                </c:pt>
                <c:pt idx="73">
                  <c:v>-3.6256465895780909E-3</c:v>
                </c:pt>
                <c:pt idx="74">
                  <c:v>-2.6168051005955983E-2</c:v>
                </c:pt>
                <c:pt idx="75">
                  <c:v>-3.1110787868061651E-3</c:v>
                </c:pt>
                <c:pt idx="76">
                  <c:v>0.15481852861170498</c:v>
                </c:pt>
                <c:pt idx="77">
                  <c:v>0.13441232122591296</c:v>
                </c:pt>
                <c:pt idx="78">
                  <c:v>0.11163912675635657</c:v>
                </c:pt>
                <c:pt idx="79">
                  <c:v>0.13317183531008769</c:v>
                </c:pt>
                <c:pt idx="80">
                  <c:v>0.13973948631757693</c:v>
                </c:pt>
                <c:pt idx="81">
                  <c:v>7.7798713486453508E-2</c:v>
                </c:pt>
                <c:pt idx="82">
                  <c:v>9.2834741283425615E-2</c:v>
                </c:pt>
                <c:pt idx="83">
                  <c:v>0.12381779616368993</c:v>
                </c:pt>
                <c:pt idx="84">
                  <c:v>0.14440076675225577</c:v>
                </c:pt>
                <c:pt idx="85">
                  <c:v>5.8218270458132881E-2</c:v>
                </c:pt>
                <c:pt idx="86">
                  <c:v>0.10084398160765939</c:v>
                </c:pt>
                <c:pt idx="87">
                  <c:v>0.10625738448032673</c:v>
                </c:pt>
              </c:numCache>
            </c:numRef>
          </c:yVal>
          <c:smooth val="0"/>
          <c:extLst>
            <c:ext xmlns:c16="http://schemas.microsoft.com/office/drawing/2014/chart" uri="{C3380CC4-5D6E-409C-BE32-E72D297353CC}">
              <c16:uniqueId val="{00000001-27FC-421B-BC52-8A66E6AA0DFE}"/>
            </c:ext>
          </c:extLst>
        </c:ser>
        <c:dLbls>
          <c:showLegendKey val="0"/>
          <c:showVal val="0"/>
          <c:showCatName val="0"/>
          <c:showSerName val="0"/>
          <c:showPercent val="0"/>
          <c:showBubbleSize val="0"/>
        </c:dLbls>
        <c:axId val="86892911"/>
        <c:axId val="76233827"/>
      </c:scatterChart>
      <c:valAx>
        <c:axId val="86892911"/>
        <c:scaling>
          <c:orientation val="minMax"/>
        </c:scaling>
        <c:delete val="0"/>
        <c:axPos val="b"/>
        <c:majorGridlines>
          <c:spPr>
            <a:ln w="9360">
              <a:solidFill>
                <a:srgbClr val="D9D9D9"/>
              </a:solidFill>
              <a:round/>
            </a:ln>
          </c:spPr>
        </c:majorGridlines>
        <c:title>
          <c:tx>
            <c:rich>
              <a:bodyPr rot="0"/>
              <a:lstStyle/>
              <a:p>
                <a:pPr>
                  <a:defRPr lang="en-US" sz="1000" b="0" strike="noStrike" spc="-1">
                    <a:solidFill>
                      <a:srgbClr val="595959"/>
                    </a:solidFill>
                    <a:latin typeface="Calibri"/>
                  </a:defRPr>
                </a:pPr>
                <a:r>
                  <a:rPr lang="en-US" sz="1000" b="0" strike="noStrike" spc="-1">
                    <a:solidFill>
                      <a:srgbClr val="595959"/>
                    </a:solidFill>
                    <a:latin typeface="Calibri"/>
                  </a:rPr>
                  <a:t>Real CAPE</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zh-TW"/>
          </a:p>
        </c:txPr>
        <c:crossAx val="76233827"/>
        <c:crosses val="autoZero"/>
        <c:crossBetween val="midCat"/>
      </c:valAx>
      <c:valAx>
        <c:axId val="76233827"/>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Calibri"/>
                  </a:defRPr>
                </a:pPr>
                <a:r>
                  <a:rPr lang="en-US" sz="1000" b="0" strike="noStrike" spc="-1">
                    <a:solidFill>
                      <a:srgbClr val="595959"/>
                    </a:solidFill>
                    <a:latin typeface="Calibri"/>
                  </a:rPr>
                  <a:t>Future 5-Year Real Return</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zh-TW"/>
          </a:p>
        </c:txPr>
        <c:crossAx val="86892911"/>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Portfolio Growth: CAPE Strategy vs. 60/40 Benchmark (1933–2024)</a:t>
            </a:r>
          </a:p>
        </c:rich>
      </c:tx>
      <c:overlay val="0"/>
      <c:spPr>
        <a:noFill/>
        <a:ln w="0">
          <a:noFill/>
        </a:ln>
      </c:spPr>
    </c:title>
    <c:autoTitleDeleted val="0"/>
    <c:plotArea>
      <c:layout/>
      <c:lineChart>
        <c:grouping val="standard"/>
        <c:varyColors val="0"/>
        <c:ser>
          <c:idx val="0"/>
          <c:order val="0"/>
          <c:tx>
            <c:strRef>
              <c:f>'Portfolio Growth'!$B$1</c:f>
              <c:strCache>
                <c:ptCount val="1"/>
                <c:pt idx="0">
                  <c:v>CAPE Strategy</c:v>
                </c:pt>
              </c:strCache>
            </c:strRef>
          </c:tx>
          <c:spPr>
            <a:ln w="20160">
              <a:solidFill>
                <a:srgbClr val="1F4E78"/>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zh-TW"/>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Growth'!$A$2:$A$94</c:f>
              <c:numCache>
                <c:formatCode>0</c:formatCode>
                <c:ptCount val="93"/>
                <c:pt idx="0">
                  <c:v>1932</c:v>
                </c:pt>
                <c:pt idx="1">
                  <c:v>1933</c:v>
                </c:pt>
                <c:pt idx="2">
                  <c:v>1934</c:v>
                </c:pt>
                <c:pt idx="3">
                  <c:v>1935</c:v>
                </c:pt>
                <c:pt idx="4">
                  <c:v>1936</c:v>
                </c:pt>
                <c:pt idx="5">
                  <c:v>1937</c:v>
                </c:pt>
                <c:pt idx="6">
                  <c:v>1938</c:v>
                </c:pt>
                <c:pt idx="7">
                  <c:v>1939</c:v>
                </c:pt>
                <c:pt idx="8">
                  <c:v>1940</c:v>
                </c:pt>
                <c:pt idx="9">
                  <c:v>1941</c:v>
                </c:pt>
                <c:pt idx="10">
                  <c:v>1942</c:v>
                </c:pt>
                <c:pt idx="11">
                  <c:v>1943</c:v>
                </c:pt>
                <c:pt idx="12">
                  <c:v>1944</c:v>
                </c:pt>
                <c:pt idx="13">
                  <c:v>1945</c:v>
                </c:pt>
                <c:pt idx="14">
                  <c:v>1946</c:v>
                </c:pt>
                <c:pt idx="15">
                  <c:v>1947</c:v>
                </c:pt>
                <c:pt idx="16">
                  <c:v>1948</c:v>
                </c:pt>
                <c:pt idx="17">
                  <c:v>1949</c:v>
                </c:pt>
                <c:pt idx="18">
                  <c:v>1950</c:v>
                </c:pt>
                <c:pt idx="19">
                  <c:v>1951</c:v>
                </c:pt>
                <c:pt idx="20">
                  <c:v>1952</c:v>
                </c:pt>
                <c:pt idx="21">
                  <c:v>1953</c:v>
                </c:pt>
                <c:pt idx="22">
                  <c:v>1954</c:v>
                </c:pt>
                <c:pt idx="23">
                  <c:v>1955</c:v>
                </c:pt>
                <c:pt idx="24">
                  <c:v>1956</c:v>
                </c:pt>
                <c:pt idx="25">
                  <c:v>1957</c:v>
                </c:pt>
                <c:pt idx="26">
                  <c:v>1958</c:v>
                </c:pt>
                <c:pt idx="27">
                  <c:v>1959</c:v>
                </c:pt>
                <c:pt idx="28">
                  <c:v>1960</c:v>
                </c:pt>
                <c:pt idx="29">
                  <c:v>1961</c:v>
                </c:pt>
                <c:pt idx="30">
                  <c:v>1962</c:v>
                </c:pt>
                <c:pt idx="31">
                  <c:v>1963</c:v>
                </c:pt>
                <c:pt idx="32">
                  <c:v>1964</c:v>
                </c:pt>
                <c:pt idx="33">
                  <c:v>1965</c:v>
                </c:pt>
                <c:pt idx="34">
                  <c:v>1966</c:v>
                </c:pt>
                <c:pt idx="35">
                  <c:v>1967</c:v>
                </c:pt>
                <c:pt idx="36">
                  <c:v>1968</c:v>
                </c:pt>
                <c:pt idx="37">
                  <c:v>1969</c:v>
                </c:pt>
                <c:pt idx="38">
                  <c:v>1970</c:v>
                </c:pt>
                <c:pt idx="39">
                  <c:v>1971</c:v>
                </c:pt>
                <c:pt idx="40">
                  <c:v>1972</c:v>
                </c:pt>
                <c:pt idx="41">
                  <c:v>1973</c:v>
                </c:pt>
                <c:pt idx="42">
                  <c:v>1974</c:v>
                </c:pt>
                <c:pt idx="43">
                  <c:v>1975</c:v>
                </c:pt>
                <c:pt idx="44">
                  <c:v>1976</c:v>
                </c:pt>
                <c:pt idx="45">
                  <c:v>1977</c:v>
                </c:pt>
                <c:pt idx="46">
                  <c:v>1978</c:v>
                </c:pt>
                <c:pt idx="47">
                  <c:v>1979</c:v>
                </c:pt>
                <c:pt idx="48">
                  <c:v>1980</c:v>
                </c:pt>
                <c:pt idx="49">
                  <c:v>1981</c:v>
                </c:pt>
                <c:pt idx="50">
                  <c:v>1982</c:v>
                </c:pt>
                <c:pt idx="51">
                  <c:v>1983</c:v>
                </c:pt>
                <c:pt idx="52">
                  <c:v>1984</c:v>
                </c:pt>
                <c:pt idx="53">
                  <c:v>1985</c:v>
                </c:pt>
                <c:pt idx="54">
                  <c:v>1986</c:v>
                </c:pt>
                <c:pt idx="55">
                  <c:v>1987</c:v>
                </c:pt>
                <c:pt idx="56">
                  <c:v>1988</c:v>
                </c:pt>
                <c:pt idx="57">
                  <c:v>1989</c:v>
                </c:pt>
                <c:pt idx="58">
                  <c:v>1990</c:v>
                </c:pt>
                <c:pt idx="59">
                  <c:v>1991</c:v>
                </c:pt>
                <c:pt idx="60">
                  <c:v>1992</c:v>
                </c:pt>
                <c:pt idx="61">
                  <c:v>1993</c:v>
                </c:pt>
                <c:pt idx="62">
                  <c:v>1994</c:v>
                </c:pt>
                <c:pt idx="63">
                  <c:v>1995</c:v>
                </c:pt>
                <c:pt idx="64">
                  <c:v>1996</c:v>
                </c:pt>
                <c:pt idx="65">
                  <c:v>1997</c:v>
                </c:pt>
                <c:pt idx="66">
                  <c:v>1998</c:v>
                </c:pt>
                <c:pt idx="67">
                  <c:v>1999</c:v>
                </c:pt>
                <c:pt idx="68">
                  <c:v>2000</c:v>
                </c:pt>
                <c:pt idx="69">
                  <c:v>2001</c:v>
                </c:pt>
                <c:pt idx="70">
                  <c:v>2002</c:v>
                </c:pt>
                <c:pt idx="71">
                  <c:v>2003</c:v>
                </c:pt>
                <c:pt idx="72">
                  <c:v>2004</c:v>
                </c:pt>
                <c:pt idx="73">
                  <c:v>2005</c:v>
                </c:pt>
                <c:pt idx="74">
                  <c:v>2006</c:v>
                </c:pt>
                <c:pt idx="75">
                  <c:v>2007</c:v>
                </c:pt>
                <c:pt idx="76">
                  <c:v>2008</c:v>
                </c:pt>
                <c:pt idx="77">
                  <c:v>2009</c:v>
                </c:pt>
                <c:pt idx="78">
                  <c:v>2010</c:v>
                </c:pt>
                <c:pt idx="79">
                  <c:v>2011</c:v>
                </c:pt>
                <c:pt idx="80">
                  <c:v>2012</c:v>
                </c:pt>
                <c:pt idx="81">
                  <c:v>2013</c:v>
                </c:pt>
                <c:pt idx="82">
                  <c:v>2014</c:v>
                </c:pt>
                <c:pt idx="83">
                  <c:v>2015</c:v>
                </c:pt>
                <c:pt idx="84">
                  <c:v>2016</c:v>
                </c:pt>
                <c:pt idx="85">
                  <c:v>2017</c:v>
                </c:pt>
                <c:pt idx="86">
                  <c:v>2018</c:v>
                </c:pt>
                <c:pt idx="87">
                  <c:v>2019</c:v>
                </c:pt>
                <c:pt idx="88">
                  <c:v>2020</c:v>
                </c:pt>
                <c:pt idx="89">
                  <c:v>2021</c:v>
                </c:pt>
                <c:pt idx="90">
                  <c:v>2022</c:v>
                </c:pt>
                <c:pt idx="91">
                  <c:v>2023</c:v>
                </c:pt>
                <c:pt idx="92">
                  <c:v>2024</c:v>
                </c:pt>
              </c:numCache>
            </c:numRef>
          </c:cat>
          <c:val>
            <c:numRef>
              <c:f>'Portfolio Growth'!$B$2:$B$94</c:f>
              <c:numCache>
                <c:formatCode>\$#,##0.00</c:formatCode>
                <c:ptCount val="93"/>
                <c:pt idx="0">
                  <c:v>1</c:v>
                </c:pt>
                <c:pt idx="1">
                  <c:v>1.4396280677009872</c:v>
                </c:pt>
                <c:pt idx="2">
                  <c:v>1.3497356241355758</c:v>
                </c:pt>
                <c:pt idx="3">
                  <c:v>1.9297286971855414</c:v>
                </c:pt>
                <c:pt idx="4">
                  <c:v>2.3139206273787889</c:v>
                </c:pt>
                <c:pt idx="5">
                  <c:v>1.8839454540005711</c:v>
                </c:pt>
                <c:pt idx="6">
                  <c:v>2.1107302269839301</c:v>
                </c:pt>
                <c:pt idx="7">
                  <c:v>2.1536695155682066</c:v>
                </c:pt>
                <c:pt idx="8">
                  <c:v>2.0405165946956658</c:v>
                </c:pt>
                <c:pt idx="9">
                  <c:v>1.9001601926177361</c:v>
                </c:pt>
                <c:pt idx="10">
                  <c:v>2.1996917849931106</c:v>
                </c:pt>
                <c:pt idx="11">
                  <c:v>2.6167287562252923</c:v>
                </c:pt>
                <c:pt idx="12">
                  <c:v>3.0240593538269418</c:v>
                </c:pt>
                <c:pt idx="13">
                  <c:v>3.9595930708742957</c:v>
                </c:pt>
                <c:pt idx="14">
                  <c:v>3.6958750314510853</c:v>
                </c:pt>
                <c:pt idx="15">
                  <c:v>3.7923913621080518</c:v>
                </c:pt>
                <c:pt idx="16">
                  <c:v>4.0991930614801584</c:v>
                </c:pt>
                <c:pt idx="17">
                  <c:v>4.6775960344434449</c:v>
                </c:pt>
                <c:pt idx="18">
                  <c:v>5.9732036780480984</c:v>
                </c:pt>
                <c:pt idx="19">
                  <c:v>6.9798215360555682</c:v>
                </c:pt>
                <c:pt idx="20">
                  <c:v>7.7895028788169869</c:v>
                </c:pt>
                <c:pt idx="21">
                  <c:v>7.9936431960118721</c:v>
                </c:pt>
                <c:pt idx="22">
                  <c:v>10.951987184358609</c:v>
                </c:pt>
                <c:pt idx="23">
                  <c:v>12.885906309217662</c:v>
                </c:pt>
                <c:pt idx="24">
                  <c:v>13.555482517831249</c:v>
                </c:pt>
                <c:pt idx="25">
                  <c:v>13.303866027296261</c:v>
                </c:pt>
                <c:pt idx="26">
                  <c:v>17.594467388450962</c:v>
                </c:pt>
                <c:pt idx="27">
                  <c:v>18.630762917222913</c:v>
                </c:pt>
                <c:pt idx="28">
                  <c:v>19.714993312351506</c:v>
                </c:pt>
                <c:pt idx="29">
                  <c:v>22.192637396743365</c:v>
                </c:pt>
                <c:pt idx="30">
                  <c:v>22.112494054209492</c:v>
                </c:pt>
                <c:pt idx="31">
                  <c:v>25.166411793913696</c:v>
                </c:pt>
                <c:pt idx="32">
                  <c:v>27.953677653526817</c:v>
                </c:pt>
                <c:pt idx="33">
                  <c:v>30.335131561605088</c:v>
                </c:pt>
                <c:pt idx="34">
                  <c:v>29.737622308606728</c:v>
                </c:pt>
                <c:pt idx="35">
                  <c:v>33.210554034787577</c:v>
                </c:pt>
                <c:pt idx="36">
                  <c:v>36.080385356178937</c:v>
                </c:pt>
                <c:pt idx="37">
                  <c:v>35.155572805580363</c:v>
                </c:pt>
                <c:pt idx="38">
                  <c:v>37.78059392053455</c:v>
                </c:pt>
                <c:pt idx="39">
                  <c:v>41.659196812079166</c:v>
                </c:pt>
                <c:pt idx="40">
                  <c:v>46.846520955531894</c:v>
                </c:pt>
                <c:pt idx="41">
                  <c:v>43.387708680934551</c:v>
                </c:pt>
                <c:pt idx="42">
                  <c:v>36.81361506985084</c:v>
                </c:pt>
                <c:pt idx="43">
                  <c:v>48.708444782088556</c:v>
                </c:pt>
                <c:pt idx="44">
                  <c:v>53.776693734962898</c:v>
                </c:pt>
                <c:pt idx="45">
                  <c:v>50.618400478401405</c:v>
                </c:pt>
                <c:pt idx="46">
                  <c:v>57.842546420938177</c:v>
                </c:pt>
                <c:pt idx="47">
                  <c:v>66.835392259104779</c:v>
                </c:pt>
                <c:pt idx="48">
                  <c:v>82.065473481713752</c:v>
                </c:pt>
                <c:pt idx="49">
                  <c:v>80.034473176594673</c:v>
                </c:pt>
                <c:pt idx="50">
                  <c:v>100.57681112740708</c:v>
                </c:pt>
                <c:pt idx="51">
                  <c:v>118.65992598976324</c:v>
                </c:pt>
                <c:pt idx="52">
                  <c:v>128.33329210745731</c:v>
                </c:pt>
                <c:pt idx="53">
                  <c:v>157.33839787831275</c:v>
                </c:pt>
                <c:pt idx="54">
                  <c:v>198.80883235510774</c:v>
                </c:pt>
                <c:pt idx="55">
                  <c:v>201.12281563878602</c:v>
                </c:pt>
                <c:pt idx="56">
                  <c:v>232.69470009970988</c:v>
                </c:pt>
                <c:pt idx="57">
                  <c:v>273.15749126031199</c:v>
                </c:pt>
                <c:pt idx="58">
                  <c:v>280.45005274093734</c:v>
                </c:pt>
                <c:pt idx="59">
                  <c:v>341.49175145535344</c:v>
                </c:pt>
                <c:pt idx="60">
                  <c:v>363.00136679576468</c:v>
                </c:pt>
                <c:pt idx="61">
                  <c:v>393.57979958343515</c:v>
                </c:pt>
                <c:pt idx="62">
                  <c:v>401.9790995552064</c:v>
                </c:pt>
                <c:pt idx="63">
                  <c:v>497.93873803476288</c:v>
                </c:pt>
                <c:pt idx="64">
                  <c:v>589.57324363482201</c:v>
                </c:pt>
                <c:pt idx="65">
                  <c:v>661.23319584320302</c:v>
                </c:pt>
                <c:pt idx="66">
                  <c:v>748.9354571811084</c:v>
                </c:pt>
                <c:pt idx="67">
                  <c:v>807.4483946766228</c:v>
                </c:pt>
                <c:pt idx="68">
                  <c:v>827.136951621609</c:v>
                </c:pt>
                <c:pt idx="69">
                  <c:v>826.93712073345387</c:v>
                </c:pt>
                <c:pt idx="70">
                  <c:v>790.11536200798321</c:v>
                </c:pt>
                <c:pt idx="71">
                  <c:v>901.69487767245857</c:v>
                </c:pt>
                <c:pt idx="72">
                  <c:v>944.51042242157746</c:v>
                </c:pt>
                <c:pt idx="73">
                  <c:v>982.2662933575449</c:v>
                </c:pt>
                <c:pt idx="74">
                  <c:v>1054.0245959260717</c:v>
                </c:pt>
                <c:pt idx="75">
                  <c:v>1110.6830529506722</c:v>
                </c:pt>
                <c:pt idx="76">
                  <c:v>1006.8956604827201</c:v>
                </c:pt>
                <c:pt idx="77">
                  <c:v>1184.5768058316385</c:v>
                </c:pt>
                <c:pt idx="78">
                  <c:v>1284.8274374275238</c:v>
                </c:pt>
                <c:pt idx="79">
                  <c:v>1303.8403281899334</c:v>
                </c:pt>
                <c:pt idx="80">
                  <c:v>1436.7378218669744</c:v>
                </c:pt>
                <c:pt idx="81">
                  <c:v>1692.5081110616109</c:v>
                </c:pt>
                <c:pt idx="82">
                  <c:v>1854.0069335512258</c:v>
                </c:pt>
                <c:pt idx="83">
                  <c:v>1868.4289020213887</c:v>
                </c:pt>
                <c:pt idx="84">
                  <c:v>1941.9452265412322</c:v>
                </c:pt>
                <c:pt idx="85">
                  <c:v>2074.7781565280006</c:v>
                </c:pt>
                <c:pt idx="86">
                  <c:v>2089.357099971799</c:v>
                </c:pt>
                <c:pt idx="87">
                  <c:v>2291.274467107206</c:v>
                </c:pt>
                <c:pt idx="88">
                  <c:v>2440.9507934060734</c:v>
                </c:pt>
                <c:pt idx="89">
                  <c:v>2648.7244477660188</c:v>
                </c:pt>
                <c:pt idx="90">
                  <c:v>2537.9246633454895</c:v>
                </c:pt>
                <c:pt idx="91">
                  <c:v>2785.6488736349052</c:v>
                </c:pt>
                <c:pt idx="92">
                  <c:v>3128.8992205711493</c:v>
                </c:pt>
              </c:numCache>
            </c:numRef>
          </c:val>
          <c:smooth val="0"/>
          <c:extLst>
            <c:ext xmlns:c16="http://schemas.microsoft.com/office/drawing/2014/chart" uri="{C3380CC4-5D6E-409C-BE32-E72D297353CC}">
              <c16:uniqueId val="{00000000-AA6F-4522-999F-1BDEE46C415A}"/>
            </c:ext>
          </c:extLst>
        </c:ser>
        <c:ser>
          <c:idx val="1"/>
          <c:order val="1"/>
          <c:tx>
            <c:strRef>
              <c:f>'Portfolio Growth'!$C$1</c:f>
              <c:strCache>
                <c:ptCount val="1"/>
                <c:pt idx="0">
                  <c:v>60/40 Benchmark</c:v>
                </c:pt>
              </c:strCache>
            </c:strRef>
          </c:tx>
          <c:spPr>
            <a:ln w="20160">
              <a:solidFill>
                <a:srgbClr val="C00000"/>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zh-TW"/>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Growth'!$A$2:$A$94</c:f>
              <c:numCache>
                <c:formatCode>0</c:formatCode>
                <c:ptCount val="93"/>
                <c:pt idx="0">
                  <c:v>1932</c:v>
                </c:pt>
                <c:pt idx="1">
                  <c:v>1933</c:v>
                </c:pt>
                <c:pt idx="2">
                  <c:v>1934</c:v>
                </c:pt>
                <c:pt idx="3">
                  <c:v>1935</c:v>
                </c:pt>
                <c:pt idx="4">
                  <c:v>1936</c:v>
                </c:pt>
                <c:pt idx="5">
                  <c:v>1937</c:v>
                </c:pt>
                <c:pt idx="6">
                  <c:v>1938</c:v>
                </c:pt>
                <c:pt idx="7">
                  <c:v>1939</c:v>
                </c:pt>
                <c:pt idx="8">
                  <c:v>1940</c:v>
                </c:pt>
                <c:pt idx="9">
                  <c:v>1941</c:v>
                </c:pt>
                <c:pt idx="10">
                  <c:v>1942</c:v>
                </c:pt>
                <c:pt idx="11">
                  <c:v>1943</c:v>
                </c:pt>
                <c:pt idx="12">
                  <c:v>1944</c:v>
                </c:pt>
                <c:pt idx="13">
                  <c:v>1945</c:v>
                </c:pt>
                <c:pt idx="14">
                  <c:v>1946</c:v>
                </c:pt>
                <c:pt idx="15">
                  <c:v>1947</c:v>
                </c:pt>
                <c:pt idx="16">
                  <c:v>1948</c:v>
                </c:pt>
                <c:pt idx="17">
                  <c:v>1949</c:v>
                </c:pt>
                <c:pt idx="18">
                  <c:v>1950</c:v>
                </c:pt>
                <c:pt idx="19">
                  <c:v>1951</c:v>
                </c:pt>
                <c:pt idx="20">
                  <c:v>1952</c:v>
                </c:pt>
                <c:pt idx="21">
                  <c:v>1953</c:v>
                </c:pt>
                <c:pt idx="22">
                  <c:v>1954</c:v>
                </c:pt>
                <c:pt idx="23">
                  <c:v>1955</c:v>
                </c:pt>
                <c:pt idx="24">
                  <c:v>1956</c:v>
                </c:pt>
                <c:pt idx="25">
                  <c:v>1957</c:v>
                </c:pt>
                <c:pt idx="26">
                  <c:v>1958</c:v>
                </c:pt>
                <c:pt idx="27">
                  <c:v>1959</c:v>
                </c:pt>
                <c:pt idx="28">
                  <c:v>1960</c:v>
                </c:pt>
                <c:pt idx="29">
                  <c:v>1961</c:v>
                </c:pt>
                <c:pt idx="30">
                  <c:v>1962</c:v>
                </c:pt>
                <c:pt idx="31">
                  <c:v>1963</c:v>
                </c:pt>
                <c:pt idx="32">
                  <c:v>1964</c:v>
                </c:pt>
                <c:pt idx="33">
                  <c:v>1965</c:v>
                </c:pt>
                <c:pt idx="34">
                  <c:v>1966</c:v>
                </c:pt>
                <c:pt idx="35">
                  <c:v>1967</c:v>
                </c:pt>
                <c:pt idx="36">
                  <c:v>1968</c:v>
                </c:pt>
                <c:pt idx="37">
                  <c:v>1969</c:v>
                </c:pt>
                <c:pt idx="38">
                  <c:v>1970</c:v>
                </c:pt>
                <c:pt idx="39">
                  <c:v>1971</c:v>
                </c:pt>
                <c:pt idx="40">
                  <c:v>1972</c:v>
                </c:pt>
                <c:pt idx="41">
                  <c:v>1973</c:v>
                </c:pt>
                <c:pt idx="42">
                  <c:v>1974</c:v>
                </c:pt>
                <c:pt idx="43">
                  <c:v>1975</c:v>
                </c:pt>
                <c:pt idx="44">
                  <c:v>1976</c:v>
                </c:pt>
                <c:pt idx="45">
                  <c:v>1977</c:v>
                </c:pt>
                <c:pt idx="46">
                  <c:v>1978</c:v>
                </c:pt>
                <c:pt idx="47">
                  <c:v>1979</c:v>
                </c:pt>
                <c:pt idx="48">
                  <c:v>1980</c:v>
                </c:pt>
                <c:pt idx="49">
                  <c:v>1981</c:v>
                </c:pt>
                <c:pt idx="50">
                  <c:v>1982</c:v>
                </c:pt>
                <c:pt idx="51">
                  <c:v>1983</c:v>
                </c:pt>
                <c:pt idx="52">
                  <c:v>1984</c:v>
                </c:pt>
                <c:pt idx="53">
                  <c:v>1985</c:v>
                </c:pt>
                <c:pt idx="54">
                  <c:v>1986</c:v>
                </c:pt>
                <c:pt idx="55">
                  <c:v>1987</c:v>
                </c:pt>
                <c:pt idx="56">
                  <c:v>1988</c:v>
                </c:pt>
                <c:pt idx="57">
                  <c:v>1989</c:v>
                </c:pt>
                <c:pt idx="58">
                  <c:v>1990</c:v>
                </c:pt>
                <c:pt idx="59">
                  <c:v>1991</c:v>
                </c:pt>
                <c:pt idx="60">
                  <c:v>1992</c:v>
                </c:pt>
                <c:pt idx="61">
                  <c:v>1993</c:v>
                </c:pt>
                <c:pt idx="62">
                  <c:v>1994</c:v>
                </c:pt>
                <c:pt idx="63">
                  <c:v>1995</c:v>
                </c:pt>
                <c:pt idx="64">
                  <c:v>1996</c:v>
                </c:pt>
                <c:pt idx="65">
                  <c:v>1997</c:v>
                </c:pt>
                <c:pt idx="66">
                  <c:v>1998</c:v>
                </c:pt>
                <c:pt idx="67">
                  <c:v>1999</c:v>
                </c:pt>
                <c:pt idx="68">
                  <c:v>2000</c:v>
                </c:pt>
                <c:pt idx="69">
                  <c:v>2001</c:v>
                </c:pt>
                <c:pt idx="70">
                  <c:v>2002</c:v>
                </c:pt>
                <c:pt idx="71">
                  <c:v>2003</c:v>
                </c:pt>
                <c:pt idx="72">
                  <c:v>2004</c:v>
                </c:pt>
                <c:pt idx="73">
                  <c:v>2005</c:v>
                </c:pt>
                <c:pt idx="74">
                  <c:v>2006</c:v>
                </c:pt>
                <c:pt idx="75">
                  <c:v>2007</c:v>
                </c:pt>
                <c:pt idx="76">
                  <c:v>2008</c:v>
                </c:pt>
                <c:pt idx="77">
                  <c:v>2009</c:v>
                </c:pt>
                <c:pt idx="78">
                  <c:v>2010</c:v>
                </c:pt>
                <c:pt idx="79">
                  <c:v>2011</c:v>
                </c:pt>
                <c:pt idx="80">
                  <c:v>2012</c:v>
                </c:pt>
                <c:pt idx="81">
                  <c:v>2013</c:v>
                </c:pt>
                <c:pt idx="82">
                  <c:v>2014</c:v>
                </c:pt>
                <c:pt idx="83">
                  <c:v>2015</c:v>
                </c:pt>
                <c:pt idx="84">
                  <c:v>2016</c:v>
                </c:pt>
                <c:pt idx="85">
                  <c:v>2017</c:v>
                </c:pt>
                <c:pt idx="86">
                  <c:v>2018</c:v>
                </c:pt>
                <c:pt idx="87">
                  <c:v>2019</c:v>
                </c:pt>
                <c:pt idx="88">
                  <c:v>2020</c:v>
                </c:pt>
                <c:pt idx="89">
                  <c:v>2021</c:v>
                </c:pt>
                <c:pt idx="90">
                  <c:v>2022</c:v>
                </c:pt>
                <c:pt idx="91">
                  <c:v>2023</c:v>
                </c:pt>
                <c:pt idx="92">
                  <c:v>2024</c:v>
                </c:pt>
              </c:numCache>
            </c:numRef>
          </c:cat>
          <c:val>
            <c:numRef>
              <c:f>'Portfolio Growth'!$C$2:$C$94</c:f>
              <c:numCache>
                <c:formatCode>\$#,##0.00</c:formatCode>
                <c:ptCount val="93"/>
                <c:pt idx="0">
                  <c:v>1</c:v>
                </c:pt>
                <c:pt idx="1">
                  <c:v>1.3305960507757404</c:v>
                </c:pt>
                <c:pt idx="2">
                  <c:v>1.2692086779507605</c:v>
                </c:pt>
                <c:pt idx="3">
                  <c:v>1.6787826198653297</c:v>
                </c:pt>
                <c:pt idx="4">
                  <c:v>2.0130134037271321</c:v>
                </c:pt>
                <c:pt idx="5">
                  <c:v>1.638953128262653</c:v>
                </c:pt>
                <c:pt idx="6">
                  <c:v>1.7871893525240921</c:v>
                </c:pt>
                <c:pt idx="7">
                  <c:v>1.8235467412522739</c:v>
                </c:pt>
                <c:pt idx="8">
                  <c:v>1.7277383367460426</c:v>
                </c:pt>
                <c:pt idx="9">
                  <c:v>1.639081941437591</c:v>
                </c:pt>
                <c:pt idx="10">
                  <c:v>1.8346263626578794</c:v>
                </c:pt>
                <c:pt idx="11">
                  <c:v>2.0993475642928523</c:v>
                </c:pt>
                <c:pt idx="12">
                  <c:v>2.3490083544033107</c:v>
                </c:pt>
                <c:pt idx="13">
                  <c:v>2.898670806838207</c:v>
                </c:pt>
                <c:pt idx="14">
                  <c:v>2.7056126393877125</c:v>
                </c:pt>
                <c:pt idx="15">
                  <c:v>2.7650981214739812</c:v>
                </c:pt>
                <c:pt idx="16">
                  <c:v>2.9402655771999862</c:v>
                </c:pt>
                <c:pt idx="17">
                  <c:v>3.2608317070861856</c:v>
                </c:pt>
                <c:pt idx="18">
                  <c:v>3.9467839739917254</c:v>
                </c:pt>
                <c:pt idx="19">
                  <c:v>4.4601291584072742</c:v>
                </c:pt>
                <c:pt idx="20">
                  <c:v>4.8680185348630394</c:v>
                </c:pt>
                <c:pt idx="21">
                  <c:v>4.9874326286431456</c:v>
                </c:pt>
                <c:pt idx="22">
                  <c:v>6.3909724902079033</c:v>
                </c:pt>
                <c:pt idx="23">
                  <c:v>7.5195004657439686</c:v>
                </c:pt>
                <c:pt idx="24">
                  <c:v>7.910228016581379</c:v>
                </c:pt>
                <c:pt idx="25">
                  <c:v>7.7633985835275867</c:v>
                </c:pt>
                <c:pt idx="26">
                  <c:v>9.7029353994388998</c:v>
                </c:pt>
                <c:pt idx="27">
                  <c:v>10.274428036777943</c:v>
                </c:pt>
                <c:pt idx="28">
                  <c:v>10.872355626728538</c:v>
                </c:pt>
                <c:pt idx="29">
                  <c:v>12.238718129377315</c:v>
                </c:pt>
                <c:pt idx="30">
                  <c:v>12.194520958861558</c:v>
                </c:pt>
                <c:pt idx="31">
                  <c:v>13.878684843413176</c:v>
                </c:pt>
                <c:pt idx="32">
                  <c:v>15.415796480827094</c:v>
                </c:pt>
                <c:pt idx="33">
                  <c:v>16.729112361135712</c:v>
                </c:pt>
                <c:pt idx="34">
                  <c:v>16.399600046019223</c:v>
                </c:pt>
                <c:pt idx="35">
                  <c:v>18.314840299777277</c:v>
                </c:pt>
                <c:pt idx="36">
                  <c:v>19.89748484956483</c:v>
                </c:pt>
                <c:pt idx="37">
                  <c:v>19.387472455501772</c:v>
                </c:pt>
                <c:pt idx="38">
                  <c:v>20.835109928022387</c:v>
                </c:pt>
                <c:pt idx="39">
                  <c:v>22.974068298620026</c:v>
                </c:pt>
                <c:pt idx="40">
                  <c:v>25.834755692482808</c:v>
                </c:pt>
                <c:pt idx="41">
                  <c:v>23.927301984549963</c:v>
                </c:pt>
                <c:pt idx="42">
                  <c:v>21.643087067296335</c:v>
                </c:pt>
                <c:pt idx="43">
                  <c:v>27.28343018460178</c:v>
                </c:pt>
                <c:pt idx="44">
                  <c:v>29.862794294421498</c:v>
                </c:pt>
                <c:pt idx="45">
                  <c:v>28.912490506831901</c:v>
                </c:pt>
                <c:pt idx="46">
                  <c:v>32.510312771501219</c:v>
                </c:pt>
                <c:pt idx="47">
                  <c:v>37.138264531755482</c:v>
                </c:pt>
                <c:pt idx="48">
                  <c:v>44.597702995757196</c:v>
                </c:pt>
                <c:pt idx="49">
                  <c:v>45.428941661647904</c:v>
                </c:pt>
                <c:pt idx="50">
                  <c:v>55.633484307378225</c:v>
                </c:pt>
                <c:pt idx="51">
                  <c:v>64.374648365649918</c:v>
                </c:pt>
                <c:pt idx="52">
                  <c:v>69.93766862327314</c:v>
                </c:pt>
                <c:pt idx="53">
                  <c:v>83.424127826339216</c:v>
                </c:pt>
                <c:pt idx="54">
                  <c:v>101.51515792745333</c:v>
                </c:pt>
                <c:pt idx="55">
                  <c:v>102.69671699452992</c:v>
                </c:pt>
                <c:pt idx="56">
                  <c:v>116.62840995812397</c:v>
                </c:pt>
                <c:pt idx="57">
                  <c:v>136.90867845373867</c:v>
                </c:pt>
                <c:pt idx="58">
                  <c:v>140.56376750236223</c:v>
                </c:pt>
                <c:pt idx="59">
                  <c:v>171.15834597430262</c:v>
                </c:pt>
                <c:pt idx="60">
                  <c:v>181.93913399778612</c:v>
                </c:pt>
                <c:pt idx="61">
                  <c:v>197.26528450103865</c:v>
                </c:pt>
                <c:pt idx="62">
                  <c:v>201.47507956748939</c:v>
                </c:pt>
                <c:pt idx="63">
                  <c:v>249.57080349773557</c:v>
                </c:pt>
                <c:pt idx="64">
                  <c:v>295.49873688364522</c:v>
                </c:pt>
                <c:pt idx="65">
                  <c:v>351.168016893762</c:v>
                </c:pt>
                <c:pt idx="66">
                  <c:v>424.90233672050601</c:v>
                </c:pt>
                <c:pt idx="67">
                  <c:v>472.09041328306722</c:v>
                </c:pt>
                <c:pt idx="68">
                  <c:v>467.54292888567596</c:v>
                </c:pt>
                <c:pt idx="69">
                  <c:v>441.13461422886252</c:v>
                </c:pt>
                <c:pt idx="70">
                  <c:v>392.05584549110426</c:v>
                </c:pt>
                <c:pt idx="71">
                  <c:v>447.4216862996542</c:v>
                </c:pt>
                <c:pt idx="72">
                  <c:v>484.05067415518732</c:v>
                </c:pt>
                <c:pt idx="73">
                  <c:v>509.82541604518065</c:v>
                </c:pt>
                <c:pt idx="74">
                  <c:v>562.13739628706605</c:v>
                </c:pt>
                <c:pt idx="75">
                  <c:v>594.80252292485397</c:v>
                </c:pt>
                <c:pt idx="76">
                  <c:v>464.24972996960156</c:v>
                </c:pt>
                <c:pt idx="77">
                  <c:v>546.17323702829594</c:v>
                </c:pt>
                <c:pt idx="78">
                  <c:v>592.39583036568229</c:v>
                </c:pt>
                <c:pt idx="79">
                  <c:v>601.16211047673028</c:v>
                </c:pt>
                <c:pt idx="80">
                  <c:v>662.4372037903953</c:v>
                </c:pt>
                <c:pt idx="81">
                  <c:v>780.36529937472892</c:v>
                </c:pt>
                <c:pt idx="82">
                  <c:v>854.82761724316413</c:v>
                </c:pt>
                <c:pt idx="83">
                  <c:v>866.33156321498529</c:v>
                </c:pt>
                <c:pt idx="84">
                  <c:v>928.87481091650648</c:v>
                </c:pt>
                <c:pt idx="85">
                  <c:v>1047.8673826158476</c:v>
                </c:pt>
                <c:pt idx="86">
                  <c:v>1044.7798373653102</c:v>
                </c:pt>
                <c:pt idx="87">
                  <c:v>1218.9256378354164</c:v>
                </c:pt>
                <c:pt idx="88">
                  <c:v>1359.2836713916004</c:v>
                </c:pt>
                <c:pt idx="89">
                  <c:v>1589.3287539858193</c:v>
                </c:pt>
                <c:pt idx="90">
                  <c:v>1450.0038262282026</c:v>
                </c:pt>
                <c:pt idx="91">
                  <c:v>1664.7754036332433</c:v>
                </c:pt>
                <c:pt idx="92">
                  <c:v>1995.3031307563335</c:v>
                </c:pt>
              </c:numCache>
            </c:numRef>
          </c:val>
          <c:smooth val="0"/>
          <c:extLst>
            <c:ext xmlns:c16="http://schemas.microsoft.com/office/drawing/2014/chart" uri="{C3380CC4-5D6E-409C-BE32-E72D297353CC}">
              <c16:uniqueId val="{00000001-AA6F-4522-999F-1BDEE46C415A}"/>
            </c:ext>
          </c:extLst>
        </c:ser>
        <c:dLbls>
          <c:showLegendKey val="0"/>
          <c:showVal val="0"/>
          <c:showCatName val="0"/>
          <c:showSerName val="0"/>
          <c:showPercent val="0"/>
          <c:showBubbleSize val="0"/>
        </c:dLbls>
        <c:hiLowLines>
          <c:spPr>
            <a:ln w="0">
              <a:noFill/>
            </a:ln>
          </c:spPr>
        </c:hiLowLines>
        <c:smooth val="0"/>
        <c:axId val="52254487"/>
        <c:axId val="46766192"/>
      </c:lineChart>
      <c:catAx>
        <c:axId val="5225448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zh-TW"/>
          </a:p>
        </c:txPr>
        <c:crossAx val="46766192"/>
        <c:crosses val="autoZero"/>
        <c:auto val="1"/>
        <c:lblAlgn val="ctr"/>
        <c:lblOffset val="100"/>
        <c:noMultiLvlLbl val="0"/>
      </c:catAx>
      <c:valAx>
        <c:axId val="46766192"/>
        <c:scaling>
          <c:logBase val="10"/>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Portfolio Value (Growth of $1)</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zh-TW"/>
          </a:p>
        </c:txPr>
        <c:crossAx val="5225448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zh-TW"/>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29306</xdr:colOff>
      <xdr:row>0</xdr:row>
      <xdr:rowOff>15821</xdr:rowOff>
    </xdr:from>
    <xdr:to>
      <xdr:col>18</xdr:col>
      <xdr:colOff>439616</xdr:colOff>
      <xdr:row>30</xdr:row>
      <xdr:rowOff>68384</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15822</xdr:rowOff>
    </xdr:from>
    <xdr:to>
      <xdr:col>17</xdr:col>
      <xdr:colOff>439615</xdr:colOff>
      <xdr:row>32</xdr:row>
      <xdr:rowOff>87923</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15</xdr:col>
      <xdr:colOff>291960</xdr:colOff>
      <xdr:row>20</xdr:row>
      <xdr:rowOff>170280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0"/>
  <sheetViews>
    <sheetView zoomScale="72" zoomScaleNormal="72" workbookViewId="0">
      <pane xSplit="1" ySplit="1" topLeftCell="B2" activePane="bottomRight" state="frozen"/>
      <selection pane="topRight" activeCell="B1" sqref="B1"/>
      <selection pane="bottomLeft" activeCell="A2" sqref="A2"/>
      <selection pane="bottomRight" activeCell="AA30" sqref="AA30"/>
    </sheetView>
  </sheetViews>
  <sheetFormatPr defaultColWidth="9" defaultRowHeight="15"/>
  <cols>
    <col min="1" max="1" width="9.375" style="4" customWidth="1"/>
    <col min="2" max="2" width="11.875" style="4" customWidth="1"/>
    <col min="3" max="4" width="11.125" style="4" customWidth="1"/>
    <col min="5" max="5" width="10.875" style="5" customWidth="1"/>
    <col min="6" max="6" width="13" customWidth="1"/>
    <col min="7" max="7" width="13.625" customWidth="1"/>
    <col min="8" max="8" width="12.375" customWidth="1"/>
    <col min="9" max="9" width="12.625" customWidth="1"/>
    <col min="10" max="10" width="14.125" customWidth="1"/>
    <col min="12" max="12" width="9.375" customWidth="1"/>
    <col min="17" max="17" width="10.375" customWidth="1"/>
    <col min="20" max="20" width="28.875" customWidth="1"/>
    <col min="21" max="21" width="22.375" customWidth="1"/>
    <col min="22" max="22" width="17.375" customWidth="1"/>
    <col min="23" max="23" width="21.875" customWidth="1"/>
    <col min="24" max="24" width="34" customWidth="1"/>
  </cols>
  <sheetData>
    <row r="1" spans="1:28" ht="68.25" customHeight="1">
      <c r="A1" s="6" t="s">
        <v>0</v>
      </c>
      <c r="B1" s="7" t="s">
        <v>1</v>
      </c>
      <c r="C1" s="7" t="s">
        <v>2</v>
      </c>
      <c r="D1" s="7" t="s">
        <v>3</v>
      </c>
      <c r="E1" s="8" t="s">
        <v>4</v>
      </c>
      <c r="F1" s="7" t="s">
        <v>5</v>
      </c>
      <c r="G1" s="7" t="s">
        <v>6</v>
      </c>
      <c r="H1" s="7" t="s">
        <v>7</v>
      </c>
      <c r="I1" s="7" t="s">
        <v>8</v>
      </c>
      <c r="J1" s="7" t="s">
        <v>9</v>
      </c>
      <c r="K1" s="7" t="s">
        <v>10</v>
      </c>
      <c r="L1" s="7" t="s">
        <v>11</v>
      </c>
      <c r="M1" s="7" t="s">
        <v>12</v>
      </c>
      <c r="N1" s="7" t="s">
        <v>13</v>
      </c>
      <c r="O1" s="7" t="s">
        <v>14</v>
      </c>
      <c r="P1" s="7" t="s">
        <v>15</v>
      </c>
      <c r="Q1" s="7" t="s">
        <v>16</v>
      </c>
      <c r="R1" s="7" t="s">
        <v>17</v>
      </c>
      <c r="T1" s="9" t="s">
        <v>18</v>
      </c>
      <c r="U1" s="10" t="s">
        <v>19</v>
      </c>
      <c r="V1" s="10" t="s">
        <v>20</v>
      </c>
      <c r="W1" s="9" t="s">
        <v>21</v>
      </c>
      <c r="X1" s="9" t="s">
        <v>22</v>
      </c>
    </row>
    <row r="2" spans="1:28">
      <c r="A2" s="11">
        <v>1922</v>
      </c>
      <c r="B2" s="12">
        <v>8.9</v>
      </c>
      <c r="C2" s="7"/>
      <c r="D2" s="7"/>
      <c r="E2" s="8"/>
    </row>
    <row r="3" spans="1:28">
      <c r="A3" s="11">
        <v>1923</v>
      </c>
      <c r="B3" s="12">
        <v>8.83</v>
      </c>
      <c r="C3" s="12">
        <v>0.53</v>
      </c>
      <c r="D3" s="12">
        <v>0.98</v>
      </c>
      <c r="E3" s="12">
        <v>17.3</v>
      </c>
      <c r="H3" s="13">
        <f t="shared" ref="H3:H34" si="0">B3 / E3 * $E$104</f>
        <v>161.0862514450867</v>
      </c>
      <c r="I3" s="13">
        <f t="shared" ref="I3:I34" si="1">C3 / E3 * $E$104</f>
        <v>9.6688236994219654</v>
      </c>
      <c r="J3" s="13">
        <f t="shared" ref="J3:J34" si="2">D3 / E3 * $E$104</f>
        <v>17.878202312138729</v>
      </c>
      <c r="M3" s="14">
        <f t="shared" ref="M3:M34" si="3">(B3-B2+C3)/B2</f>
        <v>5.1685393258426936E-2</v>
      </c>
      <c r="O3" s="15">
        <f t="shared" ref="O3:O34" si="4">M4</f>
        <v>0.26047565118912797</v>
      </c>
      <c r="P3" s="15">
        <f t="shared" ref="P3:P34" si="5">N4</f>
        <v>0.26047565118912802</v>
      </c>
      <c r="Q3" s="14">
        <f t="shared" ref="Q3:Q34" si="6">((1+M4)*(1+M5)*(1+M6)*(1+M7)*(1+M8))^(1/5)-1</f>
        <v>0.28632383848128473</v>
      </c>
      <c r="R3" s="14">
        <f t="shared" ref="R3:R34" si="7">((1+N4)*(1+N5)*(1+N6)*(1+N7)*(1+N8))^(1/5)-1</f>
        <v>0.28931880418251565</v>
      </c>
    </row>
    <row r="4" spans="1:28">
      <c r="A4" s="11">
        <v>1924</v>
      </c>
      <c r="B4" s="12">
        <v>10.58</v>
      </c>
      <c r="C4" s="12">
        <v>0.55000000000000004</v>
      </c>
      <c r="D4" s="12">
        <v>0.93</v>
      </c>
      <c r="E4" s="12">
        <v>17.3</v>
      </c>
      <c r="H4" s="13">
        <f t="shared" si="0"/>
        <v>193.01161271676301</v>
      </c>
      <c r="I4" s="13">
        <f t="shared" si="1"/>
        <v>10.033684971098266</v>
      </c>
      <c r="J4" s="13">
        <f t="shared" si="2"/>
        <v>16.96604913294798</v>
      </c>
      <c r="M4" s="14">
        <f t="shared" si="3"/>
        <v>0.26047565118912797</v>
      </c>
      <c r="N4" s="14">
        <f t="shared" ref="N4:N35" si="8">(H4-H3+I4)/H3</f>
        <v>0.26047565118912802</v>
      </c>
      <c r="O4" s="15">
        <f t="shared" si="4"/>
        <v>0.25236294896030248</v>
      </c>
      <c r="P4" s="15">
        <f t="shared" si="5"/>
        <v>0.21038430262643773</v>
      </c>
      <c r="Q4" s="14">
        <f t="shared" si="6"/>
        <v>0.20579037037144632</v>
      </c>
      <c r="R4" s="14">
        <f t="shared" si="7"/>
        <v>0.20718920287034215</v>
      </c>
    </row>
    <row r="5" spans="1:28">
      <c r="A5" s="11">
        <v>1925</v>
      </c>
      <c r="B5" s="12">
        <v>12.65</v>
      </c>
      <c r="C5" s="12">
        <v>0.6</v>
      </c>
      <c r="D5" s="12">
        <v>1.25</v>
      </c>
      <c r="E5" s="12">
        <v>17.899999999999999</v>
      </c>
      <c r="H5" s="13">
        <f t="shared" si="0"/>
        <v>223.03928770949724</v>
      </c>
      <c r="I5" s="13">
        <f t="shared" si="1"/>
        <v>10.578938547486034</v>
      </c>
      <c r="J5" s="13">
        <f t="shared" si="2"/>
        <v>22.039455307262575</v>
      </c>
      <c r="M5" s="14">
        <f t="shared" si="3"/>
        <v>0.25236294896030248</v>
      </c>
      <c r="N5" s="14">
        <f t="shared" si="8"/>
        <v>0.21038430262643773</v>
      </c>
      <c r="O5" s="15">
        <f t="shared" si="4"/>
        <v>0.11383399209486166</v>
      </c>
      <c r="P5" s="15">
        <f t="shared" si="5"/>
        <v>0.12641968692079222</v>
      </c>
      <c r="Q5" s="14">
        <f t="shared" si="6"/>
        <v>9.7182757597152225E-2</v>
      </c>
      <c r="R5" s="14">
        <f t="shared" si="7"/>
        <v>0.12068718278425483</v>
      </c>
    </row>
    <row r="6" spans="1:28" ht="18" customHeight="1">
      <c r="A6" s="11">
        <v>1926</v>
      </c>
      <c r="B6" s="12">
        <v>13.4</v>
      </c>
      <c r="C6" s="12">
        <v>0.69</v>
      </c>
      <c r="D6" s="12">
        <v>1.24</v>
      </c>
      <c r="E6" s="12">
        <v>17.7</v>
      </c>
      <c r="H6" s="13">
        <f t="shared" si="0"/>
        <v>238.93259887005652</v>
      </c>
      <c r="I6" s="13">
        <f t="shared" si="1"/>
        <v>12.303245762711864</v>
      </c>
      <c r="J6" s="13">
        <f t="shared" si="2"/>
        <v>22.110180790960452</v>
      </c>
      <c r="M6" s="14">
        <f t="shared" si="3"/>
        <v>0.11383399209486166</v>
      </c>
      <c r="N6" s="14">
        <f t="shared" si="8"/>
        <v>0.12641968692079222</v>
      </c>
      <c r="O6" s="15">
        <f t="shared" si="4"/>
        <v>0.36567164179104478</v>
      </c>
      <c r="P6" s="15">
        <f t="shared" si="5"/>
        <v>0.39724786472262941</v>
      </c>
      <c r="Q6" s="14">
        <f t="shared" si="6"/>
        <v>-4.0160776775048368E-2</v>
      </c>
      <c r="R6" s="14">
        <f t="shared" si="7"/>
        <v>-2.4777873847993126E-3</v>
      </c>
      <c r="X6" s="9"/>
      <c r="Y6" s="10"/>
      <c r="Z6" s="10"/>
      <c r="AA6" s="9"/>
      <c r="AB6" s="9"/>
    </row>
    <row r="7" spans="1:28">
      <c r="A7" s="11">
        <v>1927</v>
      </c>
      <c r="B7" s="12">
        <v>17.53</v>
      </c>
      <c r="C7" s="12">
        <v>0.77</v>
      </c>
      <c r="D7" s="12">
        <v>1.1100000000000001</v>
      </c>
      <c r="E7" s="12">
        <v>17.3</v>
      </c>
      <c r="H7" s="13">
        <f t="shared" si="0"/>
        <v>319.80090462427745</v>
      </c>
      <c r="I7" s="13">
        <f t="shared" si="1"/>
        <v>14.047158959537573</v>
      </c>
      <c r="J7" s="13">
        <f t="shared" si="2"/>
        <v>20.249800578034687</v>
      </c>
      <c r="M7" s="14">
        <f t="shared" si="3"/>
        <v>0.36567164179104478</v>
      </c>
      <c r="N7" s="14">
        <f t="shared" si="8"/>
        <v>0.39724786472262941</v>
      </c>
      <c r="O7" s="15">
        <f t="shared" si="4"/>
        <v>0.46662863662293197</v>
      </c>
      <c r="P7" s="15">
        <f t="shared" si="5"/>
        <v>0.48378218792846361</v>
      </c>
      <c r="Q7" s="14">
        <f t="shared" si="6"/>
        <v>-0.11414636506178122</v>
      </c>
      <c r="R7" s="14">
        <f t="shared" si="7"/>
        <v>-6.3480266101041516E-2</v>
      </c>
    </row>
    <row r="8" spans="1:28">
      <c r="A8" s="11">
        <v>1928</v>
      </c>
      <c r="B8" s="12">
        <v>24.86</v>
      </c>
      <c r="C8" s="12">
        <v>0.85</v>
      </c>
      <c r="D8" s="12">
        <v>1.38</v>
      </c>
      <c r="E8" s="12">
        <v>17.100000000000001</v>
      </c>
      <c r="H8" s="13">
        <f t="shared" si="0"/>
        <v>458.826918128655</v>
      </c>
      <c r="I8" s="13">
        <f t="shared" si="1"/>
        <v>15.687967836257309</v>
      </c>
      <c r="J8" s="13">
        <f t="shared" si="2"/>
        <v>25.469877192982455</v>
      </c>
      <c r="M8" s="14">
        <f t="shared" si="3"/>
        <v>0.46662863662293197</v>
      </c>
      <c r="N8" s="14">
        <f t="shared" si="8"/>
        <v>0.48378218792846361</v>
      </c>
      <c r="O8" s="15">
        <f t="shared" si="4"/>
        <v>-8.7691069991954904E-2</v>
      </c>
      <c r="P8" s="15">
        <f t="shared" si="5"/>
        <v>-9.299519167804815E-2</v>
      </c>
      <c r="Q8" s="14">
        <f t="shared" si="6"/>
        <v>-0.10445139764880762</v>
      </c>
      <c r="R8" s="14">
        <f t="shared" si="7"/>
        <v>-5.686557693501193E-2</v>
      </c>
    </row>
    <row r="9" spans="1:28">
      <c r="A9" s="11">
        <v>1929</v>
      </c>
      <c r="B9" s="12">
        <v>21.71</v>
      </c>
      <c r="C9" s="12">
        <v>0.97</v>
      </c>
      <c r="D9" s="12">
        <v>1.61</v>
      </c>
      <c r="E9" s="12">
        <v>17.2</v>
      </c>
      <c r="H9" s="13">
        <f t="shared" si="0"/>
        <v>398.35956686046518</v>
      </c>
      <c r="I9" s="13">
        <f t="shared" si="1"/>
        <v>17.798654069767441</v>
      </c>
      <c r="J9" s="13">
        <f t="shared" si="2"/>
        <v>29.542095930232563</v>
      </c>
      <c r="M9" s="14">
        <f t="shared" si="3"/>
        <v>-8.7691069991954904E-2</v>
      </c>
      <c r="N9" s="14">
        <f t="shared" si="8"/>
        <v>-9.299519167804815E-2</v>
      </c>
      <c r="O9" s="15">
        <f t="shared" si="4"/>
        <v>-0.21879318286503915</v>
      </c>
      <c r="P9" s="15">
        <f t="shared" si="5"/>
        <v>-0.16541880405457615</v>
      </c>
      <c r="Q9" s="14">
        <f t="shared" si="6"/>
        <v>-0.10270241464098506</v>
      </c>
      <c r="R9" s="14">
        <f t="shared" si="7"/>
        <v>-5.6762130285814894E-2</v>
      </c>
    </row>
    <row r="10" spans="1:28">
      <c r="A10" s="11">
        <v>1930</v>
      </c>
      <c r="B10" s="12">
        <v>15.98</v>
      </c>
      <c r="C10" s="12">
        <v>0.98</v>
      </c>
      <c r="D10" s="12">
        <v>0.97</v>
      </c>
      <c r="E10" s="12">
        <v>16.100000000000001</v>
      </c>
      <c r="H10" s="13">
        <f t="shared" si="0"/>
        <v>313.25266459627329</v>
      </c>
      <c r="I10" s="13">
        <f t="shared" si="1"/>
        <v>19.210739130434781</v>
      </c>
      <c r="J10" s="13">
        <f t="shared" si="2"/>
        <v>19.014711180124223</v>
      </c>
      <c r="M10" s="14">
        <f t="shared" si="3"/>
        <v>-0.21879318286503915</v>
      </c>
      <c r="N10" s="14">
        <f t="shared" si="8"/>
        <v>-0.16541880405457615</v>
      </c>
      <c r="O10" s="15">
        <f t="shared" si="4"/>
        <v>-0.42928660826032539</v>
      </c>
      <c r="P10" s="15">
        <f t="shared" si="5"/>
        <v>-0.37065167075282451</v>
      </c>
      <c r="Q10" s="14">
        <f t="shared" si="6"/>
        <v>2.7311327549685238E-2</v>
      </c>
      <c r="R10" s="14">
        <f t="shared" si="7"/>
        <v>5.9476760063119638E-2</v>
      </c>
    </row>
    <row r="11" spans="1:28">
      <c r="A11" s="11">
        <v>1931</v>
      </c>
      <c r="B11" s="12">
        <v>8.3000000000000007</v>
      </c>
      <c r="C11" s="12">
        <v>0.82</v>
      </c>
      <c r="D11" s="12">
        <v>0.61</v>
      </c>
      <c r="E11" s="12">
        <v>14.6</v>
      </c>
      <c r="H11" s="13">
        <f t="shared" si="0"/>
        <v>179.41928082191782</v>
      </c>
      <c r="I11" s="13">
        <f t="shared" si="1"/>
        <v>17.725760273972604</v>
      </c>
      <c r="J11" s="13">
        <f t="shared" si="2"/>
        <v>13.186236301369865</v>
      </c>
      <c r="M11" s="14">
        <f t="shared" si="3"/>
        <v>-0.42928660826032539</v>
      </c>
      <c r="N11" s="14">
        <f t="shared" si="8"/>
        <v>-0.37065167075282451</v>
      </c>
      <c r="O11" s="15">
        <f t="shared" si="4"/>
        <v>-8.5542168674698896E-2</v>
      </c>
      <c r="P11" s="15">
        <f t="shared" si="5"/>
        <v>1.9166743309114224E-2</v>
      </c>
      <c r="Q11" s="14">
        <f t="shared" si="6"/>
        <v>0.21683711081034684</v>
      </c>
      <c r="R11" s="14">
        <f t="shared" si="7"/>
        <v>0.22709280677424726</v>
      </c>
    </row>
    <row r="12" spans="1:28">
      <c r="A12" s="11">
        <v>1932</v>
      </c>
      <c r="B12" s="12">
        <v>7.09</v>
      </c>
      <c r="C12" s="12">
        <v>0.5</v>
      </c>
      <c r="D12" s="12">
        <v>0.41</v>
      </c>
      <c r="E12" s="12">
        <v>13.1</v>
      </c>
      <c r="H12" s="13">
        <f t="shared" si="0"/>
        <v>170.81217175572519</v>
      </c>
      <c r="I12" s="13">
        <f t="shared" si="1"/>
        <v>12.045992366412214</v>
      </c>
      <c r="J12" s="13">
        <f t="shared" si="2"/>
        <v>9.8777137404580166</v>
      </c>
      <c r="K12" s="13">
        <f t="shared" ref="K12:K43" si="9">AVERAGE(J3:J12)</f>
        <v>19.633432246651154</v>
      </c>
      <c r="L12" s="13">
        <f t="shared" ref="L12:L43" si="10">H12/K12</f>
        <v>8.700066784546058</v>
      </c>
      <c r="M12" s="14">
        <f t="shared" si="3"/>
        <v>-8.5542168674698896E-2</v>
      </c>
      <c r="N12" s="14">
        <f t="shared" si="8"/>
        <v>1.9166743309114224E-2</v>
      </c>
      <c r="O12" s="15">
        <f t="shared" si="4"/>
        <v>0.54866008462623406</v>
      </c>
      <c r="P12" s="15">
        <f t="shared" si="5"/>
        <v>0.5369278112578536</v>
      </c>
      <c r="Q12" s="14">
        <f t="shared" si="6"/>
        <v>0.14967574831842989</v>
      </c>
      <c r="R12" s="14">
        <f t="shared" si="7"/>
        <v>0.12812475950575197</v>
      </c>
    </row>
    <row r="13" spans="1:28" ht="17.25" customHeight="1">
      <c r="A13" s="11">
        <v>1933</v>
      </c>
      <c r="B13" s="16">
        <v>10.54</v>
      </c>
      <c r="C13" s="12">
        <v>0.44</v>
      </c>
      <c r="D13" s="12">
        <v>0.44</v>
      </c>
      <c r="E13" s="12">
        <v>13.2</v>
      </c>
      <c r="F13" s="17">
        <v>3.5000000000000001E-3</v>
      </c>
      <c r="G13" s="18">
        <v>1.35E-2</v>
      </c>
      <c r="H13" s="13">
        <f t="shared" si="0"/>
        <v>252.00581060606061</v>
      </c>
      <c r="I13" s="13">
        <f t="shared" si="1"/>
        <v>10.520166666666666</v>
      </c>
      <c r="J13" s="13">
        <f t="shared" si="2"/>
        <v>10.520166666666666</v>
      </c>
      <c r="K13" s="13">
        <f t="shared" si="9"/>
        <v>18.897628682103946</v>
      </c>
      <c r="L13" s="13">
        <f t="shared" si="10"/>
        <v>13.335313908708033</v>
      </c>
      <c r="M13" s="14">
        <f t="shared" si="3"/>
        <v>0.54866008462623406</v>
      </c>
      <c r="N13" s="14">
        <f t="shared" si="8"/>
        <v>0.5369278112578536</v>
      </c>
      <c r="O13" s="15">
        <f t="shared" si="4"/>
        <v>-7.8747628083491408E-2</v>
      </c>
      <c r="P13" s="15">
        <f t="shared" si="5"/>
        <v>-9.2497663485230378E-2</v>
      </c>
      <c r="Q13" s="14">
        <f t="shared" si="6"/>
        <v>8.3295870507249514E-2</v>
      </c>
      <c r="R13" s="14">
        <f t="shared" si="7"/>
        <v>7.0622254818809127E-2</v>
      </c>
      <c r="T13" s="13">
        <f t="shared" ref="T13:T44" si="11">L12</f>
        <v>8.700066784546058</v>
      </c>
      <c r="U13">
        <f t="shared" ref="U13:U44" si="12">IF(T13&lt;15,0.8,IF(T13&gt;25,0.3,0.6))</f>
        <v>0.8</v>
      </c>
      <c r="V13" s="19">
        <f t="shared" ref="V13:V44" si="13">1-U13</f>
        <v>0.19999999999999996</v>
      </c>
      <c r="W13" s="20">
        <f t="shared" ref="W13:W44" si="14">U13*M13+V13*F13</f>
        <v>0.43962806770098722</v>
      </c>
      <c r="X13" s="21">
        <f t="shared" ref="X13:X44" si="15">0.6*M13+0.4*F13</f>
        <v>0.33059605077574045</v>
      </c>
    </row>
    <row r="14" spans="1:28" ht="17.25" customHeight="1">
      <c r="A14" s="22">
        <v>1934</v>
      </c>
      <c r="B14" s="16">
        <v>9.26</v>
      </c>
      <c r="C14" s="16">
        <v>0.45</v>
      </c>
      <c r="D14" s="16">
        <v>0.49</v>
      </c>
      <c r="E14" s="16">
        <v>13.4</v>
      </c>
      <c r="F14" s="18">
        <v>2.7833333333333299E-3</v>
      </c>
      <c r="G14" s="18">
        <v>1.4800000000000001E-2</v>
      </c>
      <c r="H14" s="13">
        <f t="shared" si="0"/>
        <v>218.09718656716419</v>
      </c>
      <c r="I14" s="13">
        <f t="shared" si="1"/>
        <v>10.598675373134329</v>
      </c>
      <c r="J14" s="13">
        <f t="shared" si="2"/>
        <v>11.540779850746269</v>
      </c>
      <c r="K14" s="13">
        <f t="shared" si="9"/>
        <v>18.355101753883776</v>
      </c>
      <c r="L14" s="13">
        <f t="shared" si="10"/>
        <v>11.882101744329299</v>
      </c>
      <c r="M14" s="14">
        <f t="shared" si="3"/>
        <v>-7.8747628083491408E-2</v>
      </c>
      <c r="N14" s="14">
        <f t="shared" si="8"/>
        <v>-9.2497663485230378E-2</v>
      </c>
      <c r="O14" s="15">
        <f t="shared" si="4"/>
        <v>0.53671706263498919</v>
      </c>
      <c r="P14" s="15">
        <f t="shared" si="5"/>
        <v>0.49217453908035191</v>
      </c>
      <c r="Q14" s="14">
        <f t="shared" si="6"/>
        <v>0.10851573959502336</v>
      </c>
      <c r="R14" s="14">
        <f t="shared" si="7"/>
        <v>9.8846973831529406E-2</v>
      </c>
      <c r="T14" s="13">
        <f t="shared" si="11"/>
        <v>13.335313908708033</v>
      </c>
      <c r="U14">
        <f t="shared" si="12"/>
        <v>0.8</v>
      </c>
      <c r="V14" s="19">
        <f t="shared" si="13"/>
        <v>0.19999999999999996</v>
      </c>
      <c r="W14" s="20">
        <f t="shared" si="14"/>
        <v>-6.2441435800126469E-2</v>
      </c>
      <c r="X14" s="21">
        <f t="shared" si="15"/>
        <v>-4.6135243516761508E-2</v>
      </c>
    </row>
    <row r="15" spans="1:28" ht="17.25" customHeight="1">
      <c r="A15" s="22">
        <v>1935</v>
      </c>
      <c r="B15" s="16">
        <v>13.76</v>
      </c>
      <c r="C15" s="16">
        <v>0.47</v>
      </c>
      <c r="D15" s="16">
        <v>0.76</v>
      </c>
      <c r="E15" s="16">
        <v>13.8</v>
      </c>
      <c r="F15" s="18">
        <v>1.6750000000000001E-3</v>
      </c>
      <c r="G15" s="18">
        <v>1.35E-2</v>
      </c>
      <c r="H15" s="13">
        <f t="shared" si="0"/>
        <v>314.69020289855075</v>
      </c>
      <c r="I15" s="13">
        <f t="shared" si="1"/>
        <v>10.748865942028983</v>
      </c>
      <c r="J15" s="13">
        <f t="shared" si="2"/>
        <v>17.381144927536234</v>
      </c>
      <c r="K15" s="13">
        <f t="shared" si="9"/>
        <v>17.889270715911142</v>
      </c>
      <c r="L15" s="13">
        <f t="shared" si="10"/>
        <v>17.591002332960272</v>
      </c>
      <c r="M15" s="14">
        <f t="shared" si="3"/>
        <v>0.53671706263498919</v>
      </c>
      <c r="N15" s="14">
        <f t="shared" si="8"/>
        <v>0.49217453908035191</v>
      </c>
      <c r="O15" s="15">
        <f t="shared" si="4"/>
        <v>0.33066860465116277</v>
      </c>
      <c r="P15" s="15">
        <f t="shared" si="5"/>
        <v>0.31165905315614612</v>
      </c>
      <c r="Q15" s="14">
        <f t="shared" si="6"/>
        <v>-1.2871670578327166E-3</v>
      </c>
      <c r="R15" s="14">
        <f t="shared" si="7"/>
        <v>-5.5736464870561608E-3</v>
      </c>
      <c r="T15" s="13">
        <f t="shared" si="11"/>
        <v>11.882101744329299</v>
      </c>
      <c r="U15">
        <f t="shared" si="12"/>
        <v>0.8</v>
      </c>
      <c r="V15" s="19">
        <f t="shared" si="13"/>
        <v>0.19999999999999996</v>
      </c>
      <c r="W15" s="20">
        <f t="shared" si="14"/>
        <v>0.42970865010799136</v>
      </c>
      <c r="X15" s="21">
        <f t="shared" si="15"/>
        <v>0.32270023758099353</v>
      </c>
    </row>
    <row r="16" spans="1:28" ht="17.25" customHeight="1">
      <c r="A16" s="22">
        <v>1936</v>
      </c>
      <c r="B16" s="16">
        <v>17.59</v>
      </c>
      <c r="C16" s="16">
        <v>0.72</v>
      </c>
      <c r="D16" s="16">
        <v>1.02</v>
      </c>
      <c r="E16" s="16">
        <v>14</v>
      </c>
      <c r="F16" s="18">
        <v>1.725E-3</v>
      </c>
      <c r="G16" s="18">
        <v>1.47E-2</v>
      </c>
      <c r="H16" s="13">
        <f t="shared" si="0"/>
        <v>396.53513928571431</v>
      </c>
      <c r="I16" s="13">
        <f t="shared" si="1"/>
        <v>16.231114285714288</v>
      </c>
      <c r="J16" s="13">
        <f t="shared" si="2"/>
        <v>22.994078571428574</v>
      </c>
      <c r="K16" s="13">
        <f t="shared" si="9"/>
        <v>17.977660493957956</v>
      </c>
      <c r="L16" s="13">
        <f t="shared" si="10"/>
        <v>22.057104672712242</v>
      </c>
      <c r="M16" s="14">
        <f t="shared" si="3"/>
        <v>0.33066860465116277</v>
      </c>
      <c r="N16" s="14">
        <f t="shared" si="8"/>
        <v>0.31165905315614612</v>
      </c>
      <c r="O16" s="15">
        <f t="shared" si="4"/>
        <v>-0.3115406480955088</v>
      </c>
      <c r="P16" s="15">
        <f t="shared" si="5"/>
        <v>-0.33066451898174476</v>
      </c>
      <c r="Q16" s="14">
        <f t="shared" si="6"/>
        <v>-7.3614895930576574E-2</v>
      </c>
      <c r="R16" s="14">
        <f t="shared" si="7"/>
        <v>-9.2282244376987066E-2</v>
      </c>
      <c r="T16" s="13">
        <f t="shared" si="11"/>
        <v>17.591002332960272</v>
      </c>
      <c r="U16">
        <f t="shared" si="12"/>
        <v>0.6</v>
      </c>
      <c r="V16" s="19">
        <f t="shared" si="13"/>
        <v>0.4</v>
      </c>
      <c r="W16" s="20">
        <f t="shared" si="14"/>
        <v>0.19909116279069766</v>
      </c>
      <c r="X16" s="21">
        <f t="shared" si="15"/>
        <v>0.19909116279069766</v>
      </c>
    </row>
    <row r="17" spans="1:24" ht="17.25" customHeight="1">
      <c r="A17" s="22">
        <v>1937</v>
      </c>
      <c r="B17" s="16">
        <v>11.31</v>
      </c>
      <c r="C17" s="16">
        <v>0.8</v>
      </c>
      <c r="D17" s="16">
        <v>1.1299999999999999</v>
      </c>
      <c r="E17" s="16">
        <v>14.4</v>
      </c>
      <c r="F17" s="18">
        <v>2.7583333333333301E-3</v>
      </c>
      <c r="G17" s="18">
        <v>1.5800000000000002E-2</v>
      </c>
      <c r="H17" s="13">
        <f t="shared" si="0"/>
        <v>247.88142708333334</v>
      </c>
      <c r="I17" s="13">
        <f t="shared" si="1"/>
        <v>17.533611111111114</v>
      </c>
      <c r="J17" s="13">
        <f t="shared" si="2"/>
        <v>24.76622569444444</v>
      </c>
      <c r="K17" s="13">
        <f t="shared" si="9"/>
        <v>18.429303005598932</v>
      </c>
      <c r="L17" s="13">
        <f t="shared" si="10"/>
        <v>13.450396198273232</v>
      </c>
      <c r="M17" s="14">
        <f t="shared" si="3"/>
        <v>-0.3115406480955088</v>
      </c>
      <c r="N17" s="14">
        <f t="shared" si="8"/>
        <v>-0.33066451898174476</v>
      </c>
      <c r="O17" s="15">
        <f t="shared" si="4"/>
        <v>0.15030946065428819</v>
      </c>
      <c r="P17" s="15">
        <f t="shared" si="5"/>
        <v>0.18317544524441093</v>
      </c>
      <c r="Q17" s="14">
        <f t="shared" si="6"/>
        <v>3.4569953286473165E-2</v>
      </c>
      <c r="R17" s="14">
        <f t="shared" si="7"/>
        <v>1.9706924982221263E-3</v>
      </c>
      <c r="T17" s="13">
        <f t="shared" si="11"/>
        <v>22.057104672712242</v>
      </c>
      <c r="U17">
        <f t="shared" si="12"/>
        <v>0.6</v>
      </c>
      <c r="V17" s="19">
        <f t="shared" si="13"/>
        <v>0.4</v>
      </c>
      <c r="W17" s="20">
        <f t="shared" si="14"/>
        <v>-0.18582105552397193</v>
      </c>
      <c r="X17" s="21">
        <f t="shared" si="15"/>
        <v>-0.18582105552397193</v>
      </c>
    </row>
    <row r="18" spans="1:24" ht="17.25" customHeight="1">
      <c r="A18" s="22">
        <v>1938</v>
      </c>
      <c r="B18" s="16">
        <v>12.5</v>
      </c>
      <c r="C18" s="16">
        <v>0.51</v>
      </c>
      <c r="D18" s="16">
        <v>0.64</v>
      </c>
      <c r="E18" s="16">
        <v>14</v>
      </c>
      <c r="F18" s="18">
        <v>6.4999999999999997E-4</v>
      </c>
      <c r="G18" s="18">
        <v>1.2699999999999999E-2</v>
      </c>
      <c r="H18" s="13">
        <f t="shared" si="0"/>
        <v>281.79017857142861</v>
      </c>
      <c r="I18" s="13">
        <f t="shared" si="1"/>
        <v>11.497039285714287</v>
      </c>
      <c r="J18" s="13">
        <f t="shared" si="2"/>
        <v>14.427657142857143</v>
      </c>
      <c r="K18" s="13">
        <f t="shared" si="9"/>
        <v>17.325081000586401</v>
      </c>
      <c r="L18" s="13">
        <f t="shared" si="10"/>
        <v>16.264869327992802</v>
      </c>
      <c r="M18" s="14">
        <f t="shared" si="3"/>
        <v>0.15030946065428819</v>
      </c>
      <c r="N18" s="14">
        <f t="shared" si="8"/>
        <v>0.18317544524441093</v>
      </c>
      <c r="O18" s="15">
        <f t="shared" si="4"/>
        <v>3.3600000000000053E-2</v>
      </c>
      <c r="P18" s="15">
        <f t="shared" si="5"/>
        <v>3.3600000000000088E-2</v>
      </c>
      <c r="Q18" s="14">
        <f t="shared" si="6"/>
        <v>4.935466621666329E-2</v>
      </c>
      <c r="R18" s="14">
        <f t="shared" si="7"/>
        <v>4.7038247121615751E-3</v>
      </c>
      <c r="T18" s="13">
        <f t="shared" si="11"/>
        <v>13.450396198273232</v>
      </c>
      <c r="U18">
        <f t="shared" si="12"/>
        <v>0.8</v>
      </c>
      <c r="V18" s="19">
        <f t="shared" si="13"/>
        <v>0.19999999999999996</v>
      </c>
      <c r="W18" s="20">
        <f t="shared" si="14"/>
        <v>0.12037756852343055</v>
      </c>
      <c r="X18" s="21">
        <f t="shared" si="15"/>
        <v>9.0445676392572907E-2</v>
      </c>
    </row>
    <row r="19" spans="1:24" ht="17.25" customHeight="1">
      <c r="A19" s="22">
        <v>1939</v>
      </c>
      <c r="B19" s="16">
        <v>12.3</v>
      </c>
      <c r="C19" s="16">
        <v>0.62</v>
      </c>
      <c r="D19" s="16">
        <v>0.9</v>
      </c>
      <c r="E19" s="16">
        <v>14</v>
      </c>
      <c r="F19" s="18">
        <v>4.58333333333333E-4</v>
      </c>
      <c r="G19" s="18">
        <v>1.35E-2</v>
      </c>
      <c r="H19" s="13">
        <f t="shared" si="0"/>
        <v>277.28153571428578</v>
      </c>
      <c r="I19" s="13">
        <f t="shared" si="1"/>
        <v>13.976792857142858</v>
      </c>
      <c r="J19" s="13">
        <f t="shared" si="2"/>
        <v>20.288892857142862</v>
      </c>
      <c r="K19" s="13">
        <f t="shared" si="9"/>
        <v>16.399760693277425</v>
      </c>
      <c r="L19" s="13">
        <f t="shared" si="10"/>
        <v>16.907657428681187</v>
      </c>
      <c r="M19" s="14">
        <f t="shared" si="3"/>
        <v>3.3600000000000053E-2</v>
      </c>
      <c r="N19" s="14">
        <f t="shared" si="8"/>
        <v>3.3600000000000088E-2</v>
      </c>
      <c r="O19" s="15">
        <f t="shared" si="4"/>
        <v>-8.7804878048780483E-2</v>
      </c>
      <c r="P19" s="15">
        <f t="shared" si="5"/>
        <v>-9.427434699878931E-2</v>
      </c>
      <c r="Q19" s="14">
        <f t="shared" si="6"/>
        <v>7.9783185303706317E-2</v>
      </c>
      <c r="R19" s="14">
        <f t="shared" si="7"/>
        <v>2.9148787944441423E-2</v>
      </c>
      <c r="T19" s="13">
        <f t="shared" si="11"/>
        <v>16.264869327992802</v>
      </c>
      <c r="U19">
        <f t="shared" si="12"/>
        <v>0.6</v>
      </c>
      <c r="V19" s="19">
        <f t="shared" si="13"/>
        <v>0.4</v>
      </c>
      <c r="W19" s="20">
        <f t="shared" si="14"/>
        <v>2.0343333333333366E-2</v>
      </c>
      <c r="X19" s="21">
        <f t="shared" si="15"/>
        <v>2.0343333333333366E-2</v>
      </c>
    </row>
    <row r="20" spans="1:24" ht="17.25" customHeight="1">
      <c r="A20" s="22">
        <v>1940</v>
      </c>
      <c r="B20" s="16">
        <v>10.55</v>
      </c>
      <c r="C20" s="16">
        <v>0.67</v>
      </c>
      <c r="D20" s="16">
        <v>1.05</v>
      </c>
      <c r="E20" s="16">
        <v>14.1</v>
      </c>
      <c r="F20" s="18">
        <v>3.5833333333333301E-4</v>
      </c>
      <c r="G20" s="18">
        <v>1.34E-2</v>
      </c>
      <c r="H20" s="13">
        <f t="shared" si="0"/>
        <v>236.14416666666668</v>
      </c>
      <c r="I20" s="13">
        <f t="shared" si="1"/>
        <v>14.996833333333337</v>
      </c>
      <c r="J20" s="13">
        <f t="shared" si="2"/>
        <v>23.502500000000005</v>
      </c>
      <c r="K20" s="13">
        <f t="shared" si="9"/>
        <v>16.848539575265008</v>
      </c>
      <c r="L20" s="13">
        <f t="shared" si="10"/>
        <v>14.015705373855965</v>
      </c>
      <c r="M20" s="14">
        <f t="shared" si="3"/>
        <v>-8.7804878048780483E-2</v>
      </c>
      <c r="N20" s="14">
        <f t="shared" si="8"/>
        <v>-9.427434699878931E-2</v>
      </c>
      <c r="O20" s="15">
        <f t="shared" si="4"/>
        <v>-8.6255924170616199E-2</v>
      </c>
      <c r="P20" s="15">
        <f t="shared" si="5"/>
        <v>-0.16878764714875405</v>
      </c>
      <c r="Q20" s="14">
        <f t="shared" si="6"/>
        <v>0.17379429823894865</v>
      </c>
      <c r="R20" s="14">
        <f t="shared" si="7"/>
        <v>0.11537662959632611</v>
      </c>
      <c r="T20" s="13">
        <f t="shared" si="11"/>
        <v>16.907657428681187</v>
      </c>
      <c r="U20">
        <f t="shared" si="12"/>
        <v>0.6</v>
      </c>
      <c r="V20" s="19">
        <f t="shared" si="13"/>
        <v>0.4</v>
      </c>
      <c r="W20" s="20">
        <f t="shared" si="14"/>
        <v>-5.2539593495934955E-2</v>
      </c>
      <c r="X20" s="21">
        <f t="shared" si="15"/>
        <v>-5.2539593495934955E-2</v>
      </c>
    </row>
    <row r="21" spans="1:24" ht="17.25" customHeight="1">
      <c r="A21" s="22">
        <v>1941</v>
      </c>
      <c r="B21" s="16">
        <v>8.93</v>
      </c>
      <c r="C21" s="16">
        <v>0.71</v>
      </c>
      <c r="D21" s="16">
        <v>1.1599999999999999</v>
      </c>
      <c r="E21" s="16">
        <v>15.5</v>
      </c>
      <c r="F21" s="18">
        <v>1.1000000000000001E-3</v>
      </c>
      <c r="G21" s="18">
        <v>1.4780669548173E-2</v>
      </c>
      <c r="H21" s="13">
        <f t="shared" si="0"/>
        <v>181.82920322580645</v>
      </c>
      <c r="I21" s="13">
        <f t="shared" si="1"/>
        <v>14.456745161290323</v>
      </c>
      <c r="J21" s="13">
        <f t="shared" si="2"/>
        <v>23.619470967741933</v>
      </c>
      <c r="K21" s="13">
        <f t="shared" si="9"/>
        <v>17.891863041902216</v>
      </c>
      <c r="L21" s="13">
        <f t="shared" si="10"/>
        <v>10.162675781720877</v>
      </c>
      <c r="M21" s="14">
        <f t="shared" si="3"/>
        <v>-8.6255924170616199E-2</v>
      </c>
      <c r="N21" s="14">
        <f t="shared" si="8"/>
        <v>-0.16878764714875405</v>
      </c>
      <c r="O21" s="15">
        <f t="shared" si="4"/>
        <v>0.19596864501679731</v>
      </c>
      <c r="P21" s="15">
        <f t="shared" si="5"/>
        <v>9.6894319394104242E-2</v>
      </c>
      <c r="Q21" s="14">
        <f t="shared" si="6"/>
        <v>0.16590921829107619</v>
      </c>
      <c r="R21" s="14">
        <f t="shared" si="7"/>
        <v>9.2052163846794155E-2</v>
      </c>
      <c r="T21" s="13">
        <f t="shared" si="11"/>
        <v>14.015705373855965</v>
      </c>
      <c r="U21">
        <f t="shared" si="12"/>
        <v>0.8</v>
      </c>
      <c r="V21" s="19">
        <f t="shared" si="13"/>
        <v>0.19999999999999996</v>
      </c>
      <c r="W21" s="20">
        <f t="shared" si="14"/>
        <v>-6.878473933649297E-2</v>
      </c>
      <c r="X21" s="21">
        <f t="shared" si="15"/>
        <v>-5.1313554502369713E-2</v>
      </c>
    </row>
    <row r="22" spans="1:24" ht="17.25" customHeight="1">
      <c r="A22" s="22">
        <v>1942</v>
      </c>
      <c r="B22" s="16">
        <v>10.09</v>
      </c>
      <c r="C22" s="16">
        <v>0.59</v>
      </c>
      <c r="D22" s="16">
        <v>1.03</v>
      </c>
      <c r="E22" s="16">
        <v>16.899999999999999</v>
      </c>
      <c r="F22" s="18">
        <v>4.3E-3</v>
      </c>
      <c r="G22" s="18">
        <v>1.7288843878308001E-2</v>
      </c>
      <c r="H22" s="13">
        <f t="shared" si="0"/>
        <v>188.42925739644974</v>
      </c>
      <c r="I22" s="13">
        <f t="shared" si="1"/>
        <v>11.018162721893491</v>
      </c>
      <c r="J22" s="13">
        <f t="shared" si="2"/>
        <v>19.2350976331361</v>
      </c>
      <c r="K22" s="13">
        <f t="shared" si="9"/>
        <v>18.82760143117002</v>
      </c>
      <c r="L22" s="13">
        <f t="shared" si="10"/>
        <v>10.008139278139584</v>
      </c>
      <c r="M22" s="14">
        <f t="shared" si="3"/>
        <v>0.19596864501679731</v>
      </c>
      <c r="N22" s="14">
        <f t="shared" si="8"/>
        <v>9.6894319394104242E-2</v>
      </c>
      <c r="O22" s="15">
        <f t="shared" si="4"/>
        <v>0.23488602576808718</v>
      </c>
      <c r="P22" s="15">
        <f t="shared" si="5"/>
        <v>0.19940079514256739</v>
      </c>
      <c r="Q22" s="14">
        <f t="shared" si="6"/>
        <v>0.13164115631539719</v>
      </c>
      <c r="R22" s="14">
        <f t="shared" si="7"/>
        <v>6.0334526865091664E-2</v>
      </c>
      <c r="T22" s="13">
        <f t="shared" si="11"/>
        <v>10.162675781720877</v>
      </c>
      <c r="U22">
        <f t="shared" si="12"/>
        <v>0.8</v>
      </c>
      <c r="V22" s="19">
        <f t="shared" si="13"/>
        <v>0.19999999999999996</v>
      </c>
      <c r="W22" s="20">
        <f t="shared" si="14"/>
        <v>0.15763491601343785</v>
      </c>
      <c r="X22" s="21">
        <f t="shared" si="15"/>
        <v>0.11930118701007839</v>
      </c>
    </row>
    <row r="23" spans="1:24" ht="17.25" customHeight="1">
      <c r="A23" s="22">
        <v>1943</v>
      </c>
      <c r="B23" s="16">
        <v>11.85</v>
      </c>
      <c r="C23" s="16">
        <v>0.61</v>
      </c>
      <c r="D23" s="16">
        <v>0.94</v>
      </c>
      <c r="E23" s="16">
        <v>17.399999999999999</v>
      </c>
      <c r="F23" s="18">
        <v>8.3999999999999995E-3</v>
      </c>
      <c r="G23" s="18">
        <v>1.6500042374821E-2</v>
      </c>
      <c r="H23" s="13">
        <f t="shared" si="0"/>
        <v>214.93788793103451</v>
      </c>
      <c r="I23" s="13">
        <f t="shared" si="1"/>
        <v>11.064313218390806</v>
      </c>
      <c r="J23" s="13">
        <f t="shared" si="2"/>
        <v>17.049925287356324</v>
      </c>
      <c r="K23" s="13">
        <f t="shared" si="9"/>
        <v>19.480577293238987</v>
      </c>
      <c r="L23" s="13">
        <f t="shared" si="10"/>
        <v>11.033445502953949</v>
      </c>
      <c r="M23" s="14">
        <f t="shared" si="3"/>
        <v>0.23488602576808718</v>
      </c>
      <c r="N23" s="14">
        <f t="shared" si="8"/>
        <v>0.19940079514256739</v>
      </c>
      <c r="O23" s="15">
        <f t="shared" si="4"/>
        <v>0.19240506329113929</v>
      </c>
      <c r="P23" s="15">
        <f t="shared" si="5"/>
        <v>0.16560944389133819</v>
      </c>
      <c r="Q23" s="14">
        <f t="shared" si="6"/>
        <v>0.10545061397765898</v>
      </c>
      <c r="R23" s="14">
        <f t="shared" si="7"/>
        <v>3.5728165033434234E-2</v>
      </c>
      <c r="T23" s="13">
        <f t="shared" si="11"/>
        <v>10.008139278139584</v>
      </c>
      <c r="U23">
        <f t="shared" si="12"/>
        <v>0.8</v>
      </c>
      <c r="V23" s="19">
        <f t="shared" si="13"/>
        <v>0.19999999999999996</v>
      </c>
      <c r="W23" s="20">
        <f t="shared" si="14"/>
        <v>0.18958882061446974</v>
      </c>
      <c r="X23" s="21">
        <f t="shared" si="15"/>
        <v>0.14429161546085231</v>
      </c>
    </row>
    <row r="24" spans="1:24" ht="17.25" customHeight="1">
      <c r="A24" s="22">
        <v>1944</v>
      </c>
      <c r="B24" s="16">
        <v>13.49</v>
      </c>
      <c r="C24" s="16">
        <v>0.64</v>
      </c>
      <c r="D24" s="16">
        <v>0.93</v>
      </c>
      <c r="E24" s="16">
        <v>17.8</v>
      </c>
      <c r="F24" s="18">
        <v>8.6999999999999994E-3</v>
      </c>
      <c r="G24" s="18">
        <v>1.4987802215721E-2</v>
      </c>
      <c r="H24" s="13">
        <f t="shared" si="0"/>
        <v>239.18603651685393</v>
      </c>
      <c r="I24" s="13">
        <f t="shared" si="1"/>
        <v>11.347595505617978</v>
      </c>
      <c r="J24" s="13">
        <f t="shared" si="2"/>
        <v>16.489474719101125</v>
      </c>
      <c r="K24" s="13">
        <f t="shared" si="9"/>
        <v>19.975446780074474</v>
      </c>
      <c r="L24" s="13">
        <f t="shared" si="10"/>
        <v>11.974001840872075</v>
      </c>
      <c r="M24" s="14">
        <f t="shared" si="3"/>
        <v>0.19240506329113929</v>
      </c>
      <c r="N24" s="14">
        <f t="shared" si="8"/>
        <v>0.16560944389133819</v>
      </c>
      <c r="O24" s="15">
        <f t="shared" si="4"/>
        <v>0.38472942920681985</v>
      </c>
      <c r="P24" s="15">
        <f t="shared" si="5"/>
        <v>0.35429581537809873</v>
      </c>
      <c r="Q24" s="14">
        <f t="shared" si="6"/>
        <v>0.10186223176433984</v>
      </c>
      <c r="R24" s="14">
        <f t="shared" si="7"/>
        <v>4.1427153478462264E-2</v>
      </c>
      <c r="T24" s="13">
        <f t="shared" si="11"/>
        <v>11.033445502953949</v>
      </c>
      <c r="U24">
        <f t="shared" si="12"/>
        <v>0.8</v>
      </c>
      <c r="V24" s="19">
        <f t="shared" si="13"/>
        <v>0.19999999999999996</v>
      </c>
      <c r="W24" s="20">
        <f t="shared" si="14"/>
        <v>0.15566405063291144</v>
      </c>
      <c r="X24" s="21">
        <f t="shared" si="15"/>
        <v>0.11892303797468357</v>
      </c>
    </row>
    <row r="25" spans="1:24" ht="17.25" customHeight="1">
      <c r="A25" s="22">
        <v>1945</v>
      </c>
      <c r="B25" s="16">
        <v>18.02</v>
      </c>
      <c r="C25" s="16">
        <v>0.66</v>
      </c>
      <c r="D25" s="16">
        <v>0.96</v>
      </c>
      <c r="E25" s="16">
        <v>18.2</v>
      </c>
      <c r="F25" s="18">
        <v>7.9000000000000008E-3</v>
      </c>
      <c r="G25" s="18">
        <v>1.2671820349934E-2</v>
      </c>
      <c r="H25" s="13">
        <f t="shared" si="0"/>
        <v>312.48363186813191</v>
      </c>
      <c r="I25" s="13">
        <f t="shared" si="1"/>
        <v>11.445016483516484</v>
      </c>
      <c r="J25" s="13">
        <f t="shared" si="2"/>
        <v>16.647296703296703</v>
      </c>
      <c r="K25" s="13">
        <f t="shared" si="9"/>
        <v>19.902061957650524</v>
      </c>
      <c r="L25" s="13">
        <f t="shared" si="10"/>
        <v>15.70106818746037</v>
      </c>
      <c r="M25" s="14">
        <f t="shared" si="3"/>
        <v>0.38472942920681985</v>
      </c>
      <c r="N25" s="14">
        <f t="shared" si="8"/>
        <v>0.35429581537809873</v>
      </c>
      <c r="O25" s="15">
        <f t="shared" si="4"/>
        <v>-0.11653718091009982</v>
      </c>
      <c r="P25" s="15">
        <f t="shared" si="5"/>
        <v>-0.25213845081692171</v>
      </c>
      <c r="Q25" s="14">
        <f t="shared" si="6"/>
        <v>9.5237825354082206E-2</v>
      </c>
      <c r="R25" s="14">
        <f t="shared" si="7"/>
        <v>2.7861762415989366E-2</v>
      </c>
      <c r="T25" s="13">
        <f t="shared" si="11"/>
        <v>11.974001840872075</v>
      </c>
      <c r="U25">
        <f t="shared" si="12"/>
        <v>0.8</v>
      </c>
      <c r="V25" s="19">
        <f t="shared" si="13"/>
        <v>0.19999999999999996</v>
      </c>
      <c r="W25" s="20">
        <f t="shared" si="14"/>
        <v>0.30936354336545591</v>
      </c>
      <c r="X25" s="21">
        <f t="shared" si="15"/>
        <v>0.23399765752409191</v>
      </c>
    </row>
    <row r="26" spans="1:24" ht="17.25" customHeight="1">
      <c r="A26" s="22">
        <v>1946</v>
      </c>
      <c r="B26" s="16">
        <v>15.21</v>
      </c>
      <c r="C26" s="16">
        <v>0.71</v>
      </c>
      <c r="D26" s="16">
        <v>1.06</v>
      </c>
      <c r="E26" s="16">
        <v>21.5</v>
      </c>
      <c r="F26" s="18">
        <v>8.3000000000000001E-3</v>
      </c>
      <c r="G26" s="18">
        <v>9.9000000000000008E-3</v>
      </c>
      <c r="H26" s="13">
        <f t="shared" si="0"/>
        <v>223.27218837209307</v>
      </c>
      <c r="I26" s="13">
        <f t="shared" si="1"/>
        <v>10.422304651162792</v>
      </c>
      <c r="J26" s="13">
        <f t="shared" si="2"/>
        <v>15.56006046511628</v>
      </c>
      <c r="K26" s="13">
        <f t="shared" si="9"/>
        <v>19.158660147019294</v>
      </c>
      <c r="L26" s="13">
        <f t="shared" si="10"/>
        <v>11.653851921728972</v>
      </c>
      <c r="M26" s="14">
        <f t="shared" si="3"/>
        <v>-0.11653718091009982</v>
      </c>
      <c r="N26" s="14">
        <f t="shared" si="8"/>
        <v>-0.25213845081692171</v>
      </c>
      <c r="O26" s="15">
        <f t="shared" si="4"/>
        <v>3.0243261012491727E-2</v>
      </c>
      <c r="P26" s="15">
        <f t="shared" si="5"/>
        <v>-5.3408969582539607E-2</v>
      </c>
      <c r="Q26" s="14">
        <f t="shared" si="6"/>
        <v>0.16576399609966685</v>
      </c>
      <c r="R26" s="14">
        <f t="shared" si="7"/>
        <v>0.11801892613354781</v>
      </c>
      <c r="T26" s="13">
        <f t="shared" si="11"/>
        <v>15.70106818746037</v>
      </c>
      <c r="U26">
        <f t="shared" si="12"/>
        <v>0.6</v>
      </c>
      <c r="V26" s="19">
        <f t="shared" si="13"/>
        <v>0.4</v>
      </c>
      <c r="W26" s="20">
        <f t="shared" si="14"/>
        <v>-6.6602308546059891E-2</v>
      </c>
      <c r="X26" s="21">
        <f t="shared" si="15"/>
        <v>-6.6602308546059891E-2</v>
      </c>
    </row>
    <row r="27" spans="1:24" ht="17.25" customHeight="1">
      <c r="A27" s="22">
        <v>1947</v>
      </c>
      <c r="B27" s="16">
        <v>14.83</v>
      </c>
      <c r="C27" s="16">
        <v>0.84</v>
      </c>
      <c r="D27" s="16">
        <v>1.61</v>
      </c>
      <c r="E27" s="16">
        <v>23.4</v>
      </c>
      <c r="F27" s="18">
        <v>9.5999999999999992E-3</v>
      </c>
      <c r="G27" s="18">
        <v>1.1599999999999999E-2</v>
      </c>
      <c r="H27" s="13">
        <f t="shared" si="0"/>
        <v>200.01804059829064</v>
      </c>
      <c r="I27" s="13">
        <f t="shared" si="1"/>
        <v>11.329410256410258</v>
      </c>
      <c r="J27" s="13">
        <f t="shared" si="2"/>
        <v>21.714702991452995</v>
      </c>
      <c r="K27" s="13">
        <f t="shared" si="9"/>
        <v>18.853507876720151</v>
      </c>
      <c r="L27" s="13">
        <f t="shared" si="10"/>
        <v>10.609062350952101</v>
      </c>
      <c r="M27" s="14">
        <f t="shared" si="3"/>
        <v>3.0243261012491727E-2</v>
      </c>
      <c r="N27" s="14">
        <f t="shared" si="8"/>
        <v>-5.3408969582539607E-2</v>
      </c>
      <c r="O27" s="15">
        <f t="shared" si="4"/>
        <v>9.8449089683074809E-2</v>
      </c>
      <c r="P27" s="15">
        <f t="shared" si="5"/>
        <v>6.6543929401823437E-2</v>
      </c>
      <c r="Q27" s="14">
        <f t="shared" si="6"/>
        <v>0.18972297443072517</v>
      </c>
      <c r="R27" s="14">
        <f t="shared" si="7"/>
        <v>0.1587420497509433</v>
      </c>
      <c r="T27" s="13">
        <f t="shared" si="11"/>
        <v>11.653851921728972</v>
      </c>
      <c r="U27">
        <f t="shared" si="12"/>
        <v>0.8</v>
      </c>
      <c r="V27" s="19">
        <f t="shared" si="13"/>
        <v>0.19999999999999996</v>
      </c>
      <c r="W27" s="20">
        <f t="shared" si="14"/>
        <v>2.6114608809993382E-2</v>
      </c>
      <c r="X27" s="21">
        <f t="shared" si="15"/>
        <v>2.1985956607495034E-2</v>
      </c>
    </row>
    <row r="28" spans="1:24" ht="17.25" customHeight="1">
      <c r="A28" s="22">
        <v>1948</v>
      </c>
      <c r="B28" s="16">
        <v>15.36</v>
      </c>
      <c r="C28" s="16">
        <v>0.93</v>
      </c>
      <c r="D28" s="16">
        <v>2.29</v>
      </c>
      <c r="E28" s="16">
        <v>24.1</v>
      </c>
      <c r="F28" s="18">
        <v>1.0699999999999999E-2</v>
      </c>
      <c r="G28" s="18">
        <v>1.44E-2</v>
      </c>
      <c r="H28" s="13">
        <f t="shared" si="0"/>
        <v>201.14907883817426</v>
      </c>
      <c r="I28" s="13">
        <f t="shared" si="1"/>
        <v>12.178948132780084</v>
      </c>
      <c r="J28" s="13">
        <f t="shared" si="2"/>
        <v>29.989022821576764</v>
      </c>
      <c r="K28" s="13">
        <f t="shared" si="9"/>
        <v>20.409644444592111</v>
      </c>
      <c r="L28" s="13">
        <f t="shared" si="10"/>
        <v>9.8555895662098223</v>
      </c>
      <c r="M28" s="14">
        <f t="shared" si="3"/>
        <v>9.8449089683074809E-2</v>
      </c>
      <c r="N28" s="14">
        <f t="shared" si="8"/>
        <v>6.6543929401823437E-2</v>
      </c>
      <c r="O28" s="15">
        <f t="shared" si="4"/>
        <v>0.17317708333333329</v>
      </c>
      <c r="P28" s="15">
        <f t="shared" si="5"/>
        <v>0.19803253001412438</v>
      </c>
      <c r="Q28" s="14">
        <f t="shared" si="6"/>
        <v>0.17402858910210428</v>
      </c>
      <c r="R28" s="14">
        <f t="shared" si="7"/>
        <v>0.14850165454852715</v>
      </c>
      <c r="T28" s="13">
        <f t="shared" si="11"/>
        <v>10.609062350952101</v>
      </c>
      <c r="U28">
        <f t="shared" si="12"/>
        <v>0.8</v>
      </c>
      <c r="V28" s="19">
        <f t="shared" si="13"/>
        <v>0.19999999999999996</v>
      </c>
      <c r="W28" s="20">
        <f t="shared" si="14"/>
        <v>8.0899271746459861E-2</v>
      </c>
      <c r="X28" s="21">
        <f t="shared" si="15"/>
        <v>6.3349453809844886E-2</v>
      </c>
    </row>
    <row r="29" spans="1:24" ht="17.25" customHeight="1">
      <c r="A29" s="22">
        <v>1949</v>
      </c>
      <c r="B29" s="16">
        <v>16.88</v>
      </c>
      <c r="C29" s="16">
        <v>1.1399999999999999</v>
      </c>
      <c r="D29" s="16">
        <v>2.3199999999999998</v>
      </c>
      <c r="E29" s="16">
        <v>23.6</v>
      </c>
      <c r="F29" s="18">
        <v>1.2800000000000001E-2</v>
      </c>
      <c r="G29" s="18">
        <v>1.5699999999999999E-2</v>
      </c>
      <c r="H29" s="13">
        <f t="shared" si="0"/>
        <v>225.73781355932203</v>
      </c>
      <c r="I29" s="13">
        <f t="shared" si="1"/>
        <v>15.245326271186441</v>
      </c>
      <c r="J29" s="13">
        <f t="shared" si="2"/>
        <v>31.025576271186438</v>
      </c>
      <c r="K29" s="13">
        <f t="shared" si="9"/>
        <v>21.483312785996468</v>
      </c>
      <c r="L29" s="13">
        <f t="shared" si="10"/>
        <v>10.507588648360851</v>
      </c>
      <c r="M29" s="14">
        <f t="shared" si="3"/>
        <v>0.17317708333333329</v>
      </c>
      <c r="N29" s="14">
        <f t="shared" si="8"/>
        <v>0.19803253001412438</v>
      </c>
      <c r="O29" s="15">
        <f t="shared" si="4"/>
        <v>0.34360189573459726</v>
      </c>
      <c r="P29" s="15">
        <f t="shared" si="5"/>
        <v>0.26836018957345992</v>
      </c>
      <c r="Q29" s="14">
        <f t="shared" si="6"/>
        <v>0.22631674507676336</v>
      </c>
      <c r="R29" s="14">
        <f t="shared" si="7"/>
        <v>0.19641763770224419</v>
      </c>
      <c r="T29" s="13">
        <f t="shared" si="11"/>
        <v>9.8555895662098223</v>
      </c>
      <c r="U29">
        <f t="shared" si="12"/>
        <v>0.8</v>
      </c>
      <c r="V29" s="19">
        <f t="shared" si="13"/>
        <v>0.19999999999999996</v>
      </c>
      <c r="W29" s="20">
        <f t="shared" si="14"/>
        <v>0.14110166666666665</v>
      </c>
      <c r="X29" s="21">
        <f t="shared" si="15"/>
        <v>0.10902624999999996</v>
      </c>
    </row>
    <row r="30" spans="1:24" ht="17.25" customHeight="1">
      <c r="A30" s="22">
        <v>1950</v>
      </c>
      <c r="B30" s="16">
        <v>21.21</v>
      </c>
      <c r="C30" s="16">
        <v>1.47</v>
      </c>
      <c r="D30" s="16">
        <v>2.84</v>
      </c>
      <c r="E30" s="16">
        <v>25</v>
      </c>
      <c r="F30" s="18">
        <v>1.0500000000000001E-2</v>
      </c>
      <c r="G30" s="18">
        <v>1.26E-2</v>
      </c>
      <c r="H30" s="13">
        <f t="shared" si="0"/>
        <v>267.75928200000004</v>
      </c>
      <c r="I30" s="13">
        <f t="shared" si="1"/>
        <v>18.557573999999999</v>
      </c>
      <c r="J30" s="13">
        <f t="shared" si="2"/>
        <v>35.852727999999999</v>
      </c>
      <c r="K30" s="13">
        <f t="shared" si="9"/>
        <v>22.718335585996464</v>
      </c>
      <c r="L30" s="13">
        <f t="shared" si="10"/>
        <v>11.786043083413484</v>
      </c>
      <c r="M30" s="14">
        <f t="shared" si="3"/>
        <v>0.34360189573459726</v>
      </c>
      <c r="N30" s="14">
        <f t="shared" si="8"/>
        <v>0.26836018957345992</v>
      </c>
      <c r="O30" s="15">
        <f t="shared" si="4"/>
        <v>0.206977840641207</v>
      </c>
      <c r="P30" s="15">
        <f t="shared" si="5"/>
        <v>0.13865834022755369</v>
      </c>
      <c r="Q30" s="14">
        <f t="shared" si="6"/>
        <v>0.21566150898989012</v>
      </c>
      <c r="R30" s="14">
        <f t="shared" si="7"/>
        <v>0.19887446156163557</v>
      </c>
      <c r="T30" s="13">
        <f t="shared" si="11"/>
        <v>10.507588648360851</v>
      </c>
      <c r="U30">
        <f t="shared" si="12"/>
        <v>0.8</v>
      </c>
      <c r="V30" s="19">
        <f t="shared" si="13"/>
        <v>0.19999999999999996</v>
      </c>
      <c r="W30" s="20">
        <f t="shared" si="14"/>
        <v>0.27698151658767783</v>
      </c>
      <c r="X30" s="21">
        <f t="shared" si="15"/>
        <v>0.21036113744075835</v>
      </c>
    </row>
    <row r="31" spans="1:24" ht="17.25" customHeight="1">
      <c r="A31" s="22">
        <v>1951</v>
      </c>
      <c r="B31" s="16">
        <v>24.19</v>
      </c>
      <c r="C31" s="16">
        <v>1.41</v>
      </c>
      <c r="D31" s="16">
        <v>2.44</v>
      </c>
      <c r="E31" s="16">
        <v>26.5</v>
      </c>
      <c r="F31" s="18">
        <v>1.47E-2</v>
      </c>
      <c r="G31" s="18">
        <v>1.4999999999999999E-2</v>
      </c>
      <c r="H31" s="13">
        <f t="shared" si="0"/>
        <v>288.09377169811324</v>
      </c>
      <c r="I31" s="13">
        <f t="shared" si="1"/>
        <v>16.792567924528303</v>
      </c>
      <c r="J31" s="13">
        <f t="shared" si="2"/>
        <v>29.059479245283022</v>
      </c>
      <c r="K31" s="13">
        <f t="shared" si="9"/>
        <v>23.262336413750578</v>
      </c>
      <c r="L31" s="13">
        <f t="shared" si="10"/>
        <v>12.38455873795284</v>
      </c>
      <c r="M31" s="14">
        <f t="shared" si="3"/>
        <v>0.206977840641207</v>
      </c>
      <c r="N31" s="14">
        <f t="shared" si="8"/>
        <v>0.13865834022755369</v>
      </c>
      <c r="O31" s="15">
        <f t="shared" si="4"/>
        <v>0.14055394791236042</v>
      </c>
      <c r="P31" s="15">
        <f t="shared" si="5"/>
        <v>0.13201047264709925</v>
      </c>
      <c r="Q31" s="14">
        <f t="shared" si="6"/>
        <v>0.18636913751258333</v>
      </c>
      <c r="R31" s="14">
        <f t="shared" si="7"/>
        <v>0.17675810630337208</v>
      </c>
      <c r="T31" s="13">
        <f t="shared" si="11"/>
        <v>11.786043083413484</v>
      </c>
      <c r="U31">
        <f t="shared" si="12"/>
        <v>0.8</v>
      </c>
      <c r="V31" s="19">
        <f t="shared" si="13"/>
        <v>0.19999999999999996</v>
      </c>
      <c r="W31" s="20">
        <f t="shared" si="14"/>
        <v>0.16852227251296562</v>
      </c>
      <c r="X31" s="21">
        <f t="shared" si="15"/>
        <v>0.1300667043847242</v>
      </c>
    </row>
    <row r="32" spans="1:24" ht="17.25" customHeight="1">
      <c r="A32" s="22">
        <v>1952</v>
      </c>
      <c r="B32" s="16">
        <v>26.18</v>
      </c>
      <c r="C32" s="16">
        <v>1.41</v>
      </c>
      <c r="D32" s="16">
        <v>2.4</v>
      </c>
      <c r="E32" s="16">
        <v>26.7</v>
      </c>
      <c r="F32" s="18">
        <v>1.78E-2</v>
      </c>
      <c r="G32" s="18">
        <v>2.1600000000000001E-2</v>
      </c>
      <c r="H32" s="13">
        <f t="shared" si="0"/>
        <v>309.45838576779028</v>
      </c>
      <c r="I32" s="13">
        <f t="shared" si="1"/>
        <v>16.666780898876404</v>
      </c>
      <c r="J32" s="13">
        <f t="shared" si="2"/>
        <v>28.368988764044946</v>
      </c>
      <c r="K32" s="13">
        <f t="shared" si="9"/>
        <v>24.175725526841465</v>
      </c>
      <c r="L32" s="13">
        <f t="shared" si="10"/>
        <v>12.800376370264852</v>
      </c>
      <c r="M32" s="14">
        <f t="shared" si="3"/>
        <v>0.14055394791236042</v>
      </c>
      <c r="N32" s="14">
        <f t="shared" si="8"/>
        <v>0.13201047264709925</v>
      </c>
      <c r="O32" s="15">
        <f t="shared" si="4"/>
        <v>2.7883880825057338E-2</v>
      </c>
      <c r="P32" s="15">
        <f t="shared" si="5"/>
        <v>2.0241621488068164E-2</v>
      </c>
      <c r="Q32" s="14">
        <f t="shared" si="6"/>
        <v>0.14245691174735509</v>
      </c>
      <c r="R32" s="14">
        <f t="shared" si="7"/>
        <v>0.12843984785941909</v>
      </c>
      <c r="T32" s="13">
        <f t="shared" si="11"/>
        <v>12.38455873795284</v>
      </c>
      <c r="U32">
        <f t="shared" si="12"/>
        <v>0.8</v>
      </c>
      <c r="V32" s="19">
        <f t="shared" si="13"/>
        <v>0.19999999999999996</v>
      </c>
      <c r="W32" s="20">
        <f t="shared" si="14"/>
        <v>0.11600315832988833</v>
      </c>
      <c r="X32" s="21">
        <f t="shared" si="15"/>
        <v>9.1452368747416246E-2</v>
      </c>
    </row>
    <row r="33" spans="1:24" ht="17.25" customHeight="1">
      <c r="A33" s="22">
        <v>1953</v>
      </c>
      <c r="B33" s="16">
        <v>25.46</v>
      </c>
      <c r="C33" s="16">
        <v>1.45</v>
      </c>
      <c r="D33" s="16">
        <v>2.5099999999999998</v>
      </c>
      <c r="E33" s="16">
        <v>26.9</v>
      </c>
      <c r="F33" s="18">
        <v>1.95E-2</v>
      </c>
      <c r="G33" s="18">
        <v>2.3599999999999999E-2</v>
      </c>
      <c r="H33" s="13">
        <f t="shared" si="0"/>
        <v>298.71015985130117</v>
      </c>
      <c r="I33" s="13">
        <f t="shared" si="1"/>
        <v>17.012165427509295</v>
      </c>
      <c r="J33" s="13">
        <f t="shared" si="2"/>
        <v>29.448644981412638</v>
      </c>
      <c r="K33" s="13">
        <f t="shared" si="9"/>
        <v>25.415597496247091</v>
      </c>
      <c r="L33" s="13">
        <f t="shared" si="10"/>
        <v>11.753025278882749</v>
      </c>
      <c r="M33" s="14">
        <f t="shared" si="3"/>
        <v>2.7883880825057338E-2</v>
      </c>
      <c r="N33" s="14">
        <f t="shared" si="8"/>
        <v>2.0241621488068164E-2</v>
      </c>
      <c r="O33" s="15">
        <f t="shared" si="4"/>
        <v>0.45875883739198742</v>
      </c>
      <c r="P33" s="15">
        <f t="shared" si="5"/>
        <v>0.46968586988181499</v>
      </c>
      <c r="Q33" s="14">
        <f t="shared" si="6"/>
        <v>0.21444364638234603</v>
      </c>
      <c r="R33" s="14">
        <f t="shared" si="7"/>
        <v>0.19714913086964669</v>
      </c>
      <c r="T33" s="13">
        <f t="shared" si="11"/>
        <v>12.800376370264852</v>
      </c>
      <c r="U33">
        <f t="shared" si="12"/>
        <v>0.8</v>
      </c>
      <c r="V33" s="19">
        <f t="shared" si="13"/>
        <v>0.19999999999999996</v>
      </c>
      <c r="W33" s="20">
        <f t="shared" si="14"/>
        <v>2.6207104660045874E-2</v>
      </c>
      <c r="X33" s="21">
        <f t="shared" si="15"/>
        <v>2.4530328495034403E-2</v>
      </c>
    </row>
    <row r="34" spans="1:24" ht="17.25" customHeight="1">
      <c r="A34" s="22">
        <v>1954</v>
      </c>
      <c r="B34" s="16">
        <v>35.6</v>
      </c>
      <c r="C34" s="16">
        <v>1.54</v>
      </c>
      <c r="D34" s="16">
        <v>2.77</v>
      </c>
      <c r="E34" s="16">
        <v>26.7</v>
      </c>
      <c r="F34" s="18">
        <v>1.54E-2</v>
      </c>
      <c r="G34" s="18">
        <v>2.1899999999999999E-2</v>
      </c>
      <c r="H34" s="13">
        <f t="shared" si="0"/>
        <v>420.80666666666673</v>
      </c>
      <c r="I34" s="13">
        <f t="shared" si="1"/>
        <v>18.203434456928839</v>
      </c>
      <c r="J34" s="13">
        <f t="shared" si="2"/>
        <v>32.742541198501875</v>
      </c>
      <c r="K34" s="13">
        <f t="shared" si="9"/>
        <v>27.04090414418717</v>
      </c>
      <c r="L34" s="13">
        <f t="shared" si="10"/>
        <v>15.56185637961093</v>
      </c>
      <c r="M34" s="14">
        <f t="shared" si="3"/>
        <v>0.45875883739198742</v>
      </c>
      <c r="N34" s="14">
        <f t="shared" si="8"/>
        <v>0.46968586988181499</v>
      </c>
      <c r="O34" s="15">
        <f t="shared" si="4"/>
        <v>0.28623595505617971</v>
      </c>
      <c r="P34" s="15">
        <f t="shared" si="5"/>
        <v>0.28143656716417892</v>
      </c>
      <c r="Q34" s="14">
        <f t="shared" si="6"/>
        <v>0.14277784646591019</v>
      </c>
      <c r="R34" s="14">
        <f t="shared" si="7"/>
        <v>0.12097157179742202</v>
      </c>
      <c r="T34" s="13">
        <f t="shared" si="11"/>
        <v>11.753025278882749</v>
      </c>
      <c r="U34">
        <f t="shared" si="12"/>
        <v>0.8</v>
      </c>
      <c r="V34" s="19">
        <f t="shared" si="13"/>
        <v>0.19999999999999996</v>
      </c>
      <c r="W34" s="20">
        <f t="shared" si="14"/>
        <v>0.37008706991358997</v>
      </c>
      <c r="X34" s="21">
        <f t="shared" si="15"/>
        <v>0.28141530243519242</v>
      </c>
    </row>
    <row r="35" spans="1:24" ht="17.25" customHeight="1">
      <c r="A35" s="22">
        <v>1955</v>
      </c>
      <c r="B35" s="16">
        <v>44.15</v>
      </c>
      <c r="C35" s="16">
        <v>1.64</v>
      </c>
      <c r="D35" s="16">
        <v>3.62</v>
      </c>
      <c r="E35" s="16">
        <v>26.8</v>
      </c>
      <c r="F35" s="18">
        <v>1.21E-2</v>
      </c>
      <c r="G35" s="18">
        <v>2.1600000000000001E-2</v>
      </c>
      <c r="H35" s="13">
        <f t="shared" ref="H35:H66" si="16">B35 / E35 * $E$104</f>
        <v>519.92390858208955</v>
      </c>
      <c r="I35" s="13">
        <f t="shared" ref="I35:I66" si="17">C35 / E35 * $E$104</f>
        <v>19.313141791044774</v>
      </c>
      <c r="J35" s="13">
        <f t="shared" ref="J35:J66" si="18">D35 / E35 * $E$104</f>
        <v>42.630227611940306</v>
      </c>
      <c r="K35" s="13">
        <f t="shared" si="9"/>
        <v>29.639197235051522</v>
      </c>
      <c r="L35" s="13">
        <f t="shared" si="10"/>
        <v>17.541767560668745</v>
      </c>
      <c r="M35" s="14">
        <f t="shared" ref="M35:M66" si="19">(B35-B34+C35)/B34</f>
        <v>0.28623595505617971</v>
      </c>
      <c r="N35" s="14">
        <f t="shared" si="8"/>
        <v>0.28143656716417892</v>
      </c>
      <c r="O35" s="15">
        <f t="shared" ref="O35:O66" si="20">M36</f>
        <v>6.8403171007927546E-2</v>
      </c>
      <c r="P35" s="15">
        <f t="shared" ref="P35:P66" si="21">N36</f>
        <v>3.7434963152625213E-2</v>
      </c>
      <c r="Q35" s="14">
        <f t="shared" ref="Q35:Q66" si="22">((1+M36)*(1+M37)*(1+M38)*(1+M39)*(1+M40))^(1/5)-1</f>
        <v>9.9972833050980814E-2</v>
      </c>
      <c r="R35" s="14">
        <f t="shared" ref="R35:R66" si="23">((1+N36)*(1+N37)*(1+N38)*(1+N39)*(1+N40))^(1/5)-1</f>
        <v>7.6875918331388293E-2</v>
      </c>
      <c r="T35" s="13">
        <f t="shared" si="11"/>
        <v>15.56185637961093</v>
      </c>
      <c r="U35">
        <f t="shared" si="12"/>
        <v>0.6</v>
      </c>
      <c r="V35" s="19">
        <f t="shared" si="13"/>
        <v>0.4</v>
      </c>
      <c r="W35" s="20">
        <f t="shared" si="14"/>
        <v>0.17658157303370783</v>
      </c>
      <c r="X35" s="21">
        <f t="shared" si="15"/>
        <v>0.17658157303370783</v>
      </c>
    </row>
    <row r="36" spans="1:24" ht="17.25" customHeight="1">
      <c r="A36" s="22">
        <v>1956</v>
      </c>
      <c r="B36" s="16">
        <v>45.43</v>
      </c>
      <c r="C36" s="16">
        <v>1.74</v>
      </c>
      <c r="D36" s="16">
        <v>3.41</v>
      </c>
      <c r="E36" s="16">
        <v>27.6</v>
      </c>
      <c r="F36" s="18">
        <v>2.7300000000000001E-2</v>
      </c>
      <c r="G36" s="18">
        <v>2.93E-2</v>
      </c>
      <c r="H36" s="13">
        <f t="shared" si="16"/>
        <v>519.49040398550721</v>
      </c>
      <c r="I36" s="13">
        <f t="shared" si="17"/>
        <v>19.896836956521739</v>
      </c>
      <c r="J36" s="13">
        <f t="shared" si="18"/>
        <v>38.993226449275362</v>
      </c>
      <c r="K36" s="13">
        <f t="shared" si="9"/>
        <v>31.982513833467436</v>
      </c>
      <c r="L36" s="13">
        <f t="shared" si="10"/>
        <v>16.242950966596542</v>
      </c>
      <c r="M36" s="14">
        <f t="shared" si="19"/>
        <v>6.8403171007927546E-2</v>
      </c>
      <c r="N36" s="14">
        <f t="shared" ref="N36:N67" si="24">(H36-H35+I36)/H35</f>
        <v>3.7434963152625213E-2</v>
      </c>
      <c r="O36" s="15">
        <f t="shared" si="20"/>
        <v>-5.546995377503857E-2</v>
      </c>
      <c r="P36" s="15">
        <f t="shared" si="21"/>
        <v>-8.2076433950389396E-2</v>
      </c>
      <c r="Q36" s="14">
        <f t="shared" si="22"/>
        <v>0.12401645346430912</v>
      </c>
      <c r="R36" s="14">
        <f t="shared" si="23"/>
        <v>0.10542742252075765</v>
      </c>
      <c r="T36" s="13">
        <f t="shared" si="11"/>
        <v>17.541767560668745</v>
      </c>
      <c r="U36">
        <f t="shared" si="12"/>
        <v>0.6</v>
      </c>
      <c r="V36" s="19">
        <f t="shared" si="13"/>
        <v>0.4</v>
      </c>
      <c r="W36" s="20">
        <f t="shared" si="14"/>
        <v>5.1961902604756527E-2</v>
      </c>
      <c r="X36" s="21">
        <f t="shared" si="15"/>
        <v>5.1961902604756527E-2</v>
      </c>
    </row>
    <row r="37" spans="1:24" ht="17.25" customHeight="1">
      <c r="A37" s="22">
        <v>1957</v>
      </c>
      <c r="B37" s="16">
        <v>41.12</v>
      </c>
      <c r="C37" s="16">
        <v>1.79</v>
      </c>
      <c r="D37" s="16">
        <v>3.37</v>
      </c>
      <c r="E37" s="16">
        <v>28.4</v>
      </c>
      <c r="F37" s="18">
        <v>3.6799999999999999E-2</v>
      </c>
      <c r="G37" s="18">
        <v>3.6999999999999998E-2</v>
      </c>
      <c r="H37" s="13">
        <f t="shared" si="16"/>
        <v>456.96047887323948</v>
      </c>
      <c r="I37" s="13">
        <f t="shared" si="17"/>
        <v>19.892005281690142</v>
      </c>
      <c r="J37" s="13">
        <f t="shared" si="18"/>
        <v>37.450311619718313</v>
      </c>
      <c r="K37" s="13">
        <f t="shared" si="9"/>
        <v>33.556074696293969</v>
      </c>
      <c r="L37" s="13">
        <f t="shared" si="10"/>
        <v>13.617816833734356</v>
      </c>
      <c r="M37" s="14">
        <f t="shared" si="19"/>
        <v>-5.546995377503857E-2</v>
      </c>
      <c r="N37" s="14">
        <f t="shared" si="24"/>
        <v>-8.2076433950389396E-2</v>
      </c>
      <c r="O37" s="15">
        <f t="shared" si="20"/>
        <v>0.39518482490272377</v>
      </c>
      <c r="P37" s="15">
        <f t="shared" si="21"/>
        <v>0.37104667914316092</v>
      </c>
      <c r="Q37" s="14">
        <f t="shared" si="22"/>
        <v>0.13066135857910588</v>
      </c>
      <c r="R37" s="14">
        <f t="shared" si="23"/>
        <v>0.11537652885719596</v>
      </c>
      <c r="T37" s="13">
        <f t="shared" si="11"/>
        <v>16.242950966596542</v>
      </c>
      <c r="U37">
        <f t="shared" si="12"/>
        <v>0.6</v>
      </c>
      <c r="V37" s="19">
        <f t="shared" si="13"/>
        <v>0.4</v>
      </c>
      <c r="W37" s="20">
        <f t="shared" si="14"/>
        <v>-1.8561972265023142E-2</v>
      </c>
      <c r="X37" s="21">
        <f t="shared" si="15"/>
        <v>-1.8561972265023142E-2</v>
      </c>
    </row>
    <row r="38" spans="1:24" ht="17.25" customHeight="1">
      <c r="A38" s="22">
        <v>1958</v>
      </c>
      <c r="B38" s="16">
        <v>55.62</v>
      </c>
      <c r="C38" s="16">
        <v>1.75</v>
      </c>
      <c r="D38" s="16">
        <v>2.89</v>
      </c>
      <c r="E38" s="16">
        <v>28.9</v>
      </c>
      <c r="F38" s="18">
        <v>3.1800000000000002E-2</v>
      </c>
      <c r="G38" s="18">
        <v>3.0800000000000001E-2</v>
      </c>
      <c r="H38" s="13">
        <f t="shared" si="16"/>
        <v>607.40311764705882</v>
      </c>
      <c r="I38" s="13">
        <f t="shared" si="17"/>
        <v>19.111029411764708</v>
      </c>
      <c r="J38" s="13">
        <f t="shared" si="18"/>
        <v>31.560500000000005</v>
      </c>
      <c r="K38" s="13">
        <f t="shared" si="9"/>
        <v>33.71322241413629</v>
      </c>
      <c r="L38" s="13">
        <f t="shared" si="10"/>
        <v>18.016762390306798</v>
      </c>
      <c r="M38" s="14">
        <f t="shared" si="19"/>
        <v>0.39518482490272377</v>
      </c>
      <c r="N38" s="14">
        <f t="shared" si="24"/>
        <v>0.37104667914316092</v>
      </c>
      <c r="O38" s="15">
        <f t="shared" si="20"/>
        <v>7.6231571377202517E-2</v>
      </c>
      <c r="P38" s="15">
        <f t="shared" si="21"/>
        <v>5.7928313360583565E-2</v>
      </c>
      <c r="Q38" s="14">
        <f t="shared" si="22"/>
        <v>9.8933568461258448E-2</v>
      </c>
      <c r="R38" s="14">
        <f t="shared" si="23"/>
        <v>8.432460421872201E-2</v>
      </c>
      <c r="T38" s="13">
        <f t="shared" si="11"/>
        <v>13.617816833734356</v>
      </c>
      <c r="U38">
        <f t="shared" si="12"/>
        <v>0.8</v>
      </c>
      <c r="V38" s="19">
        <f t="shared" si="13"/>
        <v>0.19999999999999996</v>
      </c>
      <c r="W38" s="20">
        <f t="shared" si="14"/>
        <v>0.32250785992217901</v>
      </c>
      <c r="X38" s="21">
        <f t="shared" si="15"/>
        <v>0.24983089494163427</v>
      </c>
    </row>
    <row r="39" spans="1:24" ht="17.25" customHeight="1">
      <c r="A39" s="22">
        <v>1959</v>
      </c>
      <c r="B39" s="16">
        <v>58.03</v>
      </c>
      <c r="C39" s="16">
        <v>1.83</v>
      </c>
      <c r="D39" s="16">
        <v>3.39</v>
      </c>
      <c r="E39" s="16">
        <v>29.4</v>
      </c>
      <c r="F39" s="18">
        <v>3.2899999999999999E-2</v>
      </c>
      <c r="G39" s="18">
        <v>3.8199999999999998E-2</v>
      </c>
      <c r="H39" s="13">
        <f t="shared" si="16"/>
        <v>622.94415476190488</v>
      </c>
      <c r="I39" s="13">
        <f t="shared" si="17"/>
        <v>19.644801020408167</v>
      </c>
      <c r="J39" s="13">
        <f t="shared" si="18"/>
        <v>36.391188775510209</v>
      </c>
      <c r="K39" s="13">
        <f t="shared" si="9"/>
        <v>34.249783664568668</v>
      </c>
      <c r="L39" s="13">
        <f t="shared" si="10"/>
        <v>18.188265387683</v>
      </c>
      <c r="M39" s="14">
        <f t="shared" si="19"/>
        <v>7.6231571377202517E-2</v>
      </c>
      <c r="N39" s="14">
        <f t="shared" si="24"/>
        <v>5.7928313360583565E-2</v>
      </c>
      <c r="O39" s="15">
        <f t="shared" si="20"/>
        <v>6.272617611580214E-2</v>
      </c>
      <c r="P39" s="15">
        <f t="shared" si="21"/>
        <v>4.8461395228341475E-2</v>
      </c>
      <c r="Q39" s="14">
        <f t="shared" si="22"/>
        <v>0.11537561462957391</v>
      </c>
      <c r="R39" s="14">
        <f t="shared" si="23"/>
        <v>0.10219818768579891</v>
      </c>
      <c r="T39" s="13">
        <f t="shared" si="11"/>
        <v>18.016762390306798</v>
      </c>
      <c r="U39">
        <f t="shared" si="12"/>
        <v>0.6</v>
      </c>
      <c r="V39" s="19">
        <f t="shared" si="13"/>
        <v>0.4</v>
      </c>
      <c r="W39" s="20">
        <f t="shared" si="14"/>
        <v>5.8898942826321507E-2</v>
      </c>
      <c r="X39" s="21">
        <f t="shared" si="15"/>
        <v>5.8898942826321507E-2</v>
      </c>
    </row>
    <row r="40" spans="1:24" ht="17.25" customHeight="1">
      <c r="A40" s="22">
        <v>1960</v>
      </c>
      <c r="B40" s="16">
        <v>59.72</v>
      </c>
      <c r="C40" s="16">
        <v>1.95</v>
      </c>
      <c r="D40" s="16">
        <v>3.27</v>
      </c>
      <c r="E40" s="16">
        <v>29.8</v>
      </c>
      <c r="F40" s="18">
        <v>5.1400000000000001E-2</v>
      </c>
      <c r="G40" s="18">
        <v>5.0099999999999999E-2</v>
      </c>
      <c r="H40" s="13">
        <f t="shared" si="16"/>
        <v>632.48089261744963</v>
      </c>
      <c r="I40" s="13">
        <f t="shared" si="17"/>
        <v>20.65200503355705</v>
      </c>
      <c r="J40" s="13">
        <f t="shared" si="18"/>
        <v>34.631823825503353</v>
      </c>
      <c r="K40" s="13">
        <f t="shared" si="9"/>
        <v>34.127693247119012</v>
      </c>
      <c r="L40" s="13">
        <f t="shared" si="10"/>
        <v>18.532775949363128</v>
      </c>
      <c r="M40" s="14">
        <f t="shared" si="19"/>
        <v>6.272617611580214E-2</v>
      </c>
      <c r="N40" s="14">
        <f t="shared" si="24"/>
        <v>4.8461395228341475E-2</v>
      </c>
      <c r="O40" s="15">
        <f t="shared" si="20"/>
        <v>0.19038847957133279</v>
      </c>
      <c r="P40" s="15">
        <f t="shared" si="21"/>
        <v>0.18245255637419061</v>
      </c>
      <c r="Q40" s="14">
        <f t="shared" si="22"/>
        <v>0.12617659112081547</v>
      </c>
      <c r="R40" s="14">
        <f t="shared" si="23"/>
        <v>0.11164040712762446</v>
      </c>
      <c r="T40" s="13">
        <f t="shared" si="11"/>
        <v>18.188265387683</v>
      </c>
      <c r="U40">
        <f t="shared" si="12"/>
        <v>0.6</v>
      </c>
      <c r="V40" s="19">
        <f t="shared" si="13"/>
        <v>0.4</v>
      </c>
      <c r="W40" s="20">
        <f t="shared" si="14"/>
        <v>5.8195705669481283E-2</v>
      </c>
      <c r="X40" s="21">
        <f t="shared" si="15"/>
        <v>5.8195705669481283E-2</v>
      </c>
    </row>
    <row r="41" spans="1:24" ht="17.25" customHeight="1">
      <c r="A41" s="22">
        <v>1961</v>
      </c>
      <c r="B41" s="16">
        <v>69.069999999999993</v>
      </c>
      <c r="C41" s="16">
        <v>2.02</v>
      </c>
      <c r="D41" s="16">
        <v>3.19</v>
      </c>
      <c r="E41" s="16">
        <v>30</v>
      </c>
      <c r="F41" s="18">
        <v>2.86E-2</v>
      </c>
      <c r="G41" s="18">
        <v>3.6700000000000003E-2</v>
      </c>
      <c r="H41" s="13">
        <f t="shared" si="16"/>
        <v>726.62791166666659</v>
      </c>
      <c r="I41" s="13">
        <f t="shared" si="17"/>
        <v>21.250736666666665</v>
      </c>
      <c r="J41" s="13">
        <f t="shared" si="18"/>
        <v>33.559331666666672</v>
      </c>
      <c r="K41" s="13">
        <f t="shared" si="9"/>
        <v>34.577678489257366</v>
      </c>
      <c r="L41" s="13">
        <f t="shared" si="10"/>
        <v>21.014363699761283</v>
      </c>
      <c r="M41" s="14">
        <f t="shared" si="19"/>
        <v>0.19038847957133279</v>
      </c>
      <c r="N41" s="14">
        <f t="shared" si="24"/>
        <v>0.18245255637419061</v>
      </c>
      <c r="O41" s="15">
        <f t="shared" si="20"/>
        <v>-2.7218763573186495E-2</v>
      </c>
      <c r="P41" s="15">
        <f t="shared" si="21"/>
        <v>-4.0018516684065579E-2</v>
      </c>
      <c r="Q41" s="14">
        <f t="shared" si="22"/>
        <v>7.323926243460277E-2</v>
      </c>
      <c r="R41" s="14">
        <f t="shared" si="23"/>
        <v>5.3614220202263363E-2</v>
      </c>
      <c r="T41" s="13">
        <f t="shared" si="11"/>
        <v>18.532775949363128</v>
      </c>
      <c r="U41">
        <f t="shared" si="12"/>
        <v>0.6</v>
      </c>
      <c r="V41" s="19">
        <f t="shared" si="13"/>
        <v>0.4</v>
      </c>
      <c r="W41" s="20">
        <f t="shared" si="14"/>
        <v>0.12567308774279967</v>
      </c>
      <c r="X41" s="21">
        <f t="shared" si="15"/>
        <v>0.12567308774279967</v>
      </c>
    </row>
    <row r="42" spans="1:24" ht="17.25" customHeight="1">
      <c r="A42" s="22">
        <v>1962</v>
      </c>
      <c r="B42" s="16">
        <v>65.06</v>
      </c>
      <c r="C42" s="16">
        <v>2.13</v>
      </c>
      <c r="D42" s="16">
        <v>3.67</v>
      </c>
      <c r="E42" s="16">
        <v>30.4</v>
      </c>
      <c r="F42" s="18">
        <v>3.1800000000000002E-2</v>
      </c>
      <c r="G42" s="18">
        <v>3.9100000000000003E-2</v>
      </c>
      <c r="H42" s="13">
        <f t="shared" si="16"/>
        <v>675.43622697368426</v>
      </c>
      <c r="I42" s="13">
        <f t="shared" si="17"/>
        <v>22.113113486842106</v>
      </c>
      <c r="J42" s="13">
        <f t="shared" si="18"/>
        <v>38.100998355263158</v>
      </c>
      <c r="K42" s="13">
        <f t="shared" si="9"/>
        <v>35.550879448379192</v>
      </c>
      <c r="L42" s="13">
        <f t="shared" si="10"/>
        <v>18.999142565641318</v>
      </c>
      <c r="M42" s="14">
        <f t="shared" si="19"/>
        <v>-2.7218763573186495E-2</v>
      </c>
      <c r="N42" s="14">
        <f t="shared" si="24"/>
        <v>-4.0018516684065579E-2</v>
      </c>
      <c r="O42" s="15">
        <f t="shared" si="20"/>
        <v>0.21011374116200429</v>
      </c>
      <c r="P42" s="15">
        <f t="shared" si="21"/>
        <v>0.19053261266423741</v>
      </c>
      <c r="Q42" s="14">
        <f t="shared" si="22"/>
        <v>0.1116890799303325</v>
      </c>
      <c r="R42" s="14">
        <f t="shared" si="23"/>
        <v>8.772251131575004E-2</v>
      </c>
      <c r="T42" s="13">
        <f t="shared" si="11"/>
        <v>21.014363699761283</v>
      </c>
      <c r="U42">
        <f t="shared" si="12"/>
        <v>0.6</v>
      </c>
      <c r="V42" s="19">
        <f t="shared" si="13"/>
        <v>0.4</v>
      </c>
      <c r="W42" s="20">
        <f t="shared" si="14"/>
        <v>-3.6112581439118954E-3</v>
      </c>
      <c r="X42" s="21">
        <f t="shared" si="15"/>
        <v>-3.6112581439118954E-3</v>
      </c>
    </row>
    <row r="43" spans="1:24" ht="17.25" customHeight="1">
      <c r="A43" s="22">
        <v>1963</v>
      </c>
      <c r="B43" s="16">
        <v>76.45</v>
      </c>
      <c r="C43" s="16">
        <v>2.2799999999999998</v>
      </c>
      <c r="D43" s="16">
        <v>4.0199999999999996</v>
      </c>
      <c r="E43" s="16">
        <v>30.9</v>
      </c>
      <c r="F43" s="18">
        <v>3.0099999999999998E-2</v>
      </c>
      <c r="G43" s="18">
        <v>3.56E-2</v>
      </c>
      <c r="H43" s="13">
        <f t="shared" si="16"/>
        <v>780.84149676375421</v>
      </c>
      <c r="I43" s="13">
        <f t="shared" si="17"/>
        <v>23.287359223300971</v>
      </c>
      <c r="J43" s="13">
        <f t="shared" si="18"/>
        <v>41.059291262135922</v>
      </c>
      <c r="K43" s="13">
        <f t="shared" si="9"/>
        <v>36.711944076451523</v>
      </c>
      <c r="L43" s="13">
        <f t="shared" si="10"/>
        <v>21.269412895641679</v>
      </c>
      <c r="M43" s="14">
        <f t="shared" si="19"/>
        <v>0.21011374116200429</v>
      </c>
      <c r="N43" s="14">
        <f t="shared" si="24"/>
        <v>0.19053261266423741</v>
      </c>
      <c r="O43" s="15">
        <f t="shared" si="20"/>
        <v>0.15918901242642253</v>
      </c>
      <c r="P43" s="15">
        <f t="shared" si="21"/>
        <v>0.14804296423001462</v>
      </c>
      <c r="Q43" s="14">
        <f t="shared" si="22"/>
        <v>9.1856648203516356E-2</v>
      </c>
      <c r="R43" s="14">
        <f t="shared" si="23"/>
        <v>6.1968532165026735E-2</v>
      </c>
      <c r="T43" s="13">
        <f t="shared" si="11"/>
        <v>18.999142565641318</v>
      </c>
      <c r="U43">
        <f t="shared" si="12"/>
        <v>0.6</v>
      </c>
      <c r="V43" s="19">
        <f t="shared" si="13"/>
        <v>0.4</v>
      </c>
      <c r="W43" s="20">
        <f t="shared" si="14"/>
        <v>0.13810824469720256</v>
      </c>
      <c r="X43" s="21">
        <f t="shared" si="15"/>
        <v>0.13810824469720256</v>
      </c>
    </row>
    <row r="44" spans="1:24" ht="17.25" customHeight="1">
      <c r="A44" s="22">
        <v>1964</v>
      </c>
      <c r="B44" s="16">
        <v>86.12</v>
      </c>
      <c r="C44" s="16">
        <v>2.5</v>
      </c>
      <c r="D44" s="16">
        <v>4.55</v>
      </c>
      <c r="E44" s="16">
        <v>31.2</v>
      </c>
      <c r="F44" s="18">
        <v>3.8100000000000002E-2</v>
      </c>
      <c r="G44" s="18">
        <v>4.0399999999999998E-2</v>
      </c>
      <c r="H44" s="13">
        <f t="shared" si="16"/>
        <v>871.15072435897457</v>
      </c>
      <c r="I44" s="13">
        <f t="shared" si="17"/>
        <v>25.288862179487182</v>
      </c>
      <c r="J44" s="13">
        <f t="shared" si="18"/>
        <v>46.025729166666672</v>
      </c>
      <c r="K44" s="13">
        <f t="shared" ref="K44:K75" si="25">AVERAGE(J35:J44)</f>
        <v>38.040262873267991</v>
      </c>
      <c r="L44" s="13">
        <f t="shared" ref="L44:L75" si="26">H44/K44</f>
        <v>22.900754583669237</v>
      </c>
      <c r="M44" s="14">
        <f t="shared" si="19"/>
        <v>0.15918901242642253</v>
      </c>
      <c r="N44" s="14">
        <f t="shared" si="24"/>
        <v>0.14804296423001462</v>
      </c>
      <c r="O44" s="15">
        <f t="shared" si="20"/>
        <v>0.11518810961449127</v>
      </c>
      <c r="P44" s="15">
        <f t="shared" si="21"/>
        <v>9.4146824527425149E-2</v>
      </c>
      <c r="Q44" s="14">
        <f t="shared" si="22"/>
        <v>4.163395900436373E-2</v>
      </c>
      <c r="R44" s="14">
        <f t="shared" si="23"/>
        <v>2.9465272467041892E-3</v>
      </c>
      <c r="T44" s="13">
        <f t="shared" si="11"/>
        <v>21.269412895641679</v>
      </c>
      <c r="U44">
        <f t="shared" si="12"/>
        <v>0.6</v>
      </c>
      <c r="V44" s="19">
        <f t="shared" si="13"/>
        <v>0.4</v>
      </c>
      <c r="W44" s="20">
        <f t="shared" si="14"/>
        <v>0.11075340745585352</v>
      </c>
      <c r="X44" s="21">
        <f t="shared" si="15"/>
        <v>0.11075340745585352</v>
      </c>
    </row>
    <row r="45" spans="1:24" ht="17.25" customHeight="1">
      <c r="A45" s="22">
        <v>1965</v>
      </c>
      <c r="B45" s="16">
        <v>93.32</v>
      </c>
      <c r="C45" s="16">
        <v>2.72</v>
      </c>
      <c r="D45" s="16">
        <v>5.19</v>
      </c>
      <c r="E45" s="16">
        <v>31.8</v>
      </c>
      <c r="F45" s="18">
        <v>4.02E-2</v>
      </c>
      <c r="G45" s="18">
        <v>4.0899999999999999E-2</v>
      </c>
      <c r="H45" s="13">
        <f t="shared" si="16"/>
        <v>926.17165408805022</v>
      </c>
      <c r="I45" s="13">
        <f t="shared" si="17"/>
        <v>26.995144654088055</v>
      </c>
      <c r="J45" s="13">
        <f t="shared" si="18"/>
        <v>51.509117924528312</v>
      </c>
      <c r="K45" s="13">
        <f t="shared" si="25"/>
        <v>38.9281519045268</v>
      </c>
      <c r="L45" s="13">
        <f t="shared" si="26"/>
        <v>23.791821824974676</v>
      </c>
      <c r="M45" s="14">
        <f t="shared" si="19"/>
        <v>0.11518810961449127</v>
      </c>
      <c r="N45" s="14">
        <f t="shared" si="24"/>
        <v>9.4146824527425149E-2</v>
      </c>
      <c r="O45" s="15">
        <f t="shared" si="20"/>
        <v>-6.4294899271324368E-2</v>
      </c>
      <c r="P45" s="15">
        <f t="shared" si="21"/>
        <v>-9.5579872244015568E-2</v>
      </c>
      <c r="Q45" s="14">
        <f t="shared" si="22"/>
        <v>3.3048547918170357E-2</v>
      </c>
      <c r="R45" s="14">
        <f t="shared" si="23"/>
        <v>-1.2289794421462497E-2</v>
      </c>
      <c r="T45" s="13">
        <f t="shared" ref="T45:T76" si="27">L44</f>
        <v>22.900754583669237</v>
      </c>
      <c r="U45">
        <f t="shared" ref="U45:U76" si="28">IF(T45&lt;15,0.8,IF(T45&gt;25,0.3,0.6))</f>
        <v>0.6</v>
      </c>
      <c r="V45" s="19">
        <f t="shared" ref="V45:V76" si="29">1-U45</f>
        <v>0.4</v>
      </c>
      <c r="W45" s="20">
        <f t="shared" ref="W45:W76" si="30">U45*M45+V45*F45</f>
        <v>8.5192865768694753E-2</v>
      </c>
      <c r="X45" s="21">
        <f t="shared" ref="X45:X76" si="31">0.6*M45+0.4*F45</f>
        <v>8.5192865768694753E-2</v>
      </c>
    </row>
    <row r="46" spans="1:24" ht="17.25" customHeight="1">
      <c r="A46" s="22">
        <v>1966</v>
      </c>
      <c r="B46" s="16">
        <v>84.45</v>
      </c>
      <c r="C46" s="16">
        <v>2.87</v>
      </c>
      <c r="D46" s="16">
        <v>5.55</v>
      </c>
      <c r="E46" s="16">
        <v>32.9</v>
      </c>
      <c r="F46" s="18">
        <v>4.7199999999999999E-2</v>
      </c>
      <c r="G46" s="18">
        <v>4.7199999999999999E-2</v>
      </c>
      <c r="H46" s="13">
        <f t="shared" si="16"/>
        <v>810.11678571428581</v>
      </c>
      <c r="I46" s="13">
        <f t="shared" si="17"/>
        <v>27.531500000000001</v>
      </c>
      <c r="J46" s="13">
        <f t="shared" si="18"/>
        <v>53.24035714285715</v>
      </c>
      <c r="K46" s="13">
        <f t="shared" si="25"/>
        <v>40.352864973884977</v>
      </c>
      <c r="L46" s="13">
        <f t="shared" si="26"/>
        <v>20.075818315219163</v>
      </c>
      <c r="M46" s="14">
        <f t="shared" si="19"/>
        <v>-6.4294899271324368E-2</v>
      </c>
      <c r="N46" s="14">
        <f t="shared" si="24"/>
        <v>-9.5579872244015568E-2</v>
      </c>
      <c r="O46" s="15">
        <f t="shared" si="20"/>
        <v>0.15997631734754295</v>
      </c>
      <c r="P46" s="15">
        <f t="shared" si="21"/>
        <v>0.1257587268653145</v>
      </c>
      <c r="Q46" s="14">
        <f t="shared" si="22"/>
        <v>7.4245967469869001E-2</v>
      </c>
      <c r="R46" s="14">
        <f t="shared" si="23"/>
        <v>2.7482768683575243E-2</v>
      </c>
      <c r="T46" s="13">
        <f t="shared" si="27"/>
        <v>23.791821824974676</v>
      </c>
      <c r="U46">
        <f t="shared" si="28"/>
        <v>0.6</v>
      </c>
      <c r="V46" s="19">
        <f t="shared" si="29"/>
        <v>0.4</v>
      </c>
      <c r="W46" s="20">
        <f t="shared" si="30"/>
        <v>-1.969693956279462E-2</v>
      </c>
      <c r="X46" s="21">
        <f t="shared" si="31"/>
        <v>-1.969693956279462E-2</v>
      </c>
    </row>
    <row r="47" spans="1:24" ht="17.25" customHeight="1">
      <c r="A47" s="22">
        <v>1967</v>
      </c>
      <c r="B47" s="16">
        <v>95.04</v>
      </c>
      <c r="C47" s="16">
        <v>2.92</v>
      </c>
      <c r="D47" s="16">
        <v>5.33</v>
      </c>
      <c r="E47" s="16">
        <v>33.9</v>
      </c>
      <c r="F47" s="18">
        <v>5.1999999999999998E-2</v>
      </c>
      <c r="G47" s="18">
        <v>0.05</v>
      </c>
      <c r="H47" s="13">
        <f t="shared" si="16"/>
        <v>884.81118584070805</v>
      </c>
      <c r="I47" s="13">
        <f t="shared" si="17"/>
        <v>27.18485545722714</v>
      </c>
      <c r="J47" s="13">
        <f t="shared" si="18"/>
        <v>49.621671091445435</v>
      </c>
      <c r="K47" s="13">
        <f t="shared" si="25"/>
        <v>41.570000921057684</v>
      </c>
      <c r="L47" s="13">
        <f t="shared" si="26"/>
        <v>21.284848838973648</v>
      </c>
      <c r="M47" s="14">
        <f t="shared" si="19"/>
        <v>0.15997631734754295</v>
      </c>
      <c r="N47" s="14">
        <f t="shared" si="24"/>
        <v>0.1257587268653145</v>
      </c>
      <c r="O47" s="15">
        <f t="shared" si="20"/>
        <v>0.10595538720538721</v>
      </c>
      <c r="P47" s="15">
        <f t="shared" si="21"/>
        <v>5.610951059894731E-2</v>
      </c>
      <c r="Q47" s="14">
        <f t="shared" si="22"/>
        <v>7.7355731959446894E-2</v>
      </c>
      <c r="R47" s="14">
        <f t="shared" si="23"/>
        <v>2.9725055571925507E-2</v>
      </c>
      <c r="T47" s="13">
        <f t="shared" si="27"/>
        <v>20.075818315219163</v>
      </c>
      <c r="U47">
        <f t="shared" si="28"/>
        <v>0.6</v>
      </c>
      <c r="V47" s="19">
        <f t="shared" si="29"/>
        <v>0.4</v>
      </c>
      <c r="W47" s="20">
        <f t="shared" si="30"/>
        <v>0.11678579040852577</v>
      </c>
      <c r="X47" s="21">
        <f t="shared" si="31"/>
        <v>0.11678579040852577</v>
      </c>
    </row>
    <row r="48" spans="1:24" ht="17.25" customHeight="1">
      <c r="A48" s="22">
        <v>1968</v>
      </c>
      <c r="B48" s="16">
        <v>102.04</v>
      </c>
      <c r="C48" s="16">
        <v>3.07</v>
      </c>
      <c r="D48" s="16">
        <v>5.76</v>
      </c>
      <c r="E48" s="16">
        <v>35.5</v>
      </c>
      <c r="F48" s="18">
        <v>5.7099999999999998E-2</v>
      </c>
      <c r="G48" s="18">
        <v>5.7500000000000002E-2</v>
      </c>
      <c r="H48" s="13">
        <f t="shared" si="16"/>
        <v>907.164343661972</v>
      </c>
      <c r="I48" s="13">
        <f t="shared" si="17"/>
        <v>27.293164788732398</v>
      </c>
      <c r="J48" s="13">
        <f t="shared" si="18"/>
        <v>51.208022535211271</v>
      </c>
      <c r="K48" s="13">
        <f t="shared" si="25"/>
        <v>43.534753174578817</v>
      </c>
      <c r="L48" s="13">
        <f t="shared" si="26"/>
        <v>20.837704994539653</v>
      </c>
      <c r="M48" s="14">
        <f t="shared" si="19"/>
        <v>0.10595538720538721</v>
      </c>
      <c r="N48" s="14">
        <f t="shared" si="24"/>
        <v>5.610951059894731E-2</v>
      </c>
      <c r="O48" s="15">
        <f t="shared" si="20"/>
        <v>-8.3986671893375178E-2</v>
      </c>
      <c r="P48" s="15">
        <f t="shared" si="21"/>
        <v>-0.1374410305627275</v>
      </c>
      <c r="Q48" s="14">
        <f t="shared" si="22"/>
        <v>1.9723621670855396E-2</v>
      </c>
      <c r="R48" s="14">
        <f t="shared" si="23"/>
        <v>-3.2614095199838822E-2</v>
      </c>
      <c r="T48" s="13">
        <f t="shared" si="27"/>
        <v>21.284848838973648</v>
      </c>
      <c r="U48">
        <f t="shared" si="28"/>
        <v>0.6</v>
      </c>
      <c r="V48" s="19">
        <f t="shared" si="29"/>
        <v>0.4</v>
      </c>
      <c r="W48" s="20">
        <f t="shared" si="30"/>
        <v>8.6413232323232322E-2</v>
      </c>
      <c r="X48" s="21">
        <f t="shared" si="31"/>
        <v>8.6413232323232322E-2</v>
      </c>
    </row>
    <row r="49" spans="1:24" ht="17.25" customHeight="1">
      <c r="A49" s="22">
        <v>1969</v>
      </c>
      <c r="B49" s="16">
        <v>90.31</v>
      </c>
      <c r="C49" s="16">
        <v>3.16</v>
      </c>
      <c r="D49" s="16">
        <v>5.78</v>
      </c>
      <c r="E49" s="16">
        <v>37.700000000000003</v>
      </c>
      <c r="F49" s="18">
        <v>6.1899999999999997E-2</v>
      </c>
      <c r="G49" s="18">
        <v>6.1199999999999997E-2</v>
      </c>
      <c r="H49" s="13">
        <f t="shared" si="16"/>
        <v>756.02884748010604</v>
      </c>
      <c r="I49" s="13">
        <f t="shared" si="17"/>
        <v>26.453893899204246</v>
      </c>
      <c r="J49" s="13">
        <f t="shared" si="18"/>
        <v>48.387185676392576</v>
      </c>
      <c r="K49" s="13">
        <f t="shared" si="25"/>
        <v>44.734352864667052</v>
      </c>
      <c r="L49" s="13">
        <f t="shared" si="26"/>
        <v>16.90040872542156</v>
      </c>
      <c r="M49" s="14">
        <f t="shared" si="19"/>
        <v>-8.3986671893375178E-2</v>
      </c>
      <c r="N49" s="14">
        <f t="shared" si="24"/>
        <v>-0.1374410305627275</v>
      </c>
      <c r="O49" s="15">
        <f t="shared" si="20"/>
        <v>6.9981175949507174E-2</v>
      </c>
      <c r="P49" s="15">
        <f t="shared" si="21"/>
        <v>1.3524882746141333E-2</v>
      </c>
      <c r="Q49" s="14">
        <f t="shared" si="22"/>
        <v>-9.4103344724163485E-3</v>
      </c>
      <c r="R49" s="14">
        <f t="shared" si="23"/>
        <v>-7.0758512596769907E-2</v>
      </c>
      <c r="T49" s="13">
        <f t="shared" si="27"/>
        <v>20.837704994539653</v>
      </c>
      <c r="U49">
        <f t="shared" si="28"/>
        <v>0.6</v>
      </c>
      <c r="V49" s="19">
        <f t="shared" si="29"/>
        <v>0.4</v>
      </c>
      <c r="W49" s="20">
        <f t="shared" si="30"/>
        <v>-2.5632003136025105E-2</v>
      </c>
      <c r="X49" s="21">
        <f t="shared" si="31"/>
        <v>-2.5632003136025105E-2</v>
      </c>
    </row>
    <row r="50" spans="1:24" ht="17.25" customHeight="1">
      <c r="A50" s="22">
        <v>1970</v>
      </c>
      <c r="B50" s="16">
        <v>93.49</v>
      </c>
      <c r="C50" s="16">
        <v>3.14</v>
      </c>
      <c r="D50" s="16">
        <v>5.13</v>
      </c>
      <c r="E50" s="16">
        <v>39.799999999999997</v>
      </c>
      <c r="F50" s="18">
        <v>8.1699999999999995E-2</v>
      </c>
      <c r="G50" s="18">
        <v>7.9600000000000004E-2</v>
      </c>
      <c r="H50" s="13">
        <f t="shared" si="16"/>
        <v>741.3545590452261</v>
      </c>
      <c r="I50" s="13">
        <f t="shared" si="17"/>
        <v>24.899489949748745</v>
      </c>
      <c r="J50" s="13">
        <f t="shared" si="18"/>
        <v>40.67973994974875</v>
      </c>
      <c r="K50" s="13">
        <f t="shared" si="25"/>
        <v>45.339144477091594</v>
      </c>
      <c r="L50" s="13">
        <f t="shared" si="26"/>
        <v>16.351313364984392</v>
      </c>
      <c r="M50" s="14">
        <f t="shared" si="19"/>
        <v>6.9981175949507174E-2</v>
      </c>
      <c r="N50" s="14">
        <f t="shared" si="24"/>
        <v>1.3524882746141333E-2</v>
      </c>
      <c r="O50" s="15">
        <f t="shared" si="20"/>
        <v>0.13776874532035516</v>
      </c>
      <c r="P50" s="15">
        <f t="shared" si="21"/>
        <v>0.1017809261253074</v>
      </c>
      <c r="Q50" s="14">
        <f t="shared" si="22"/>
        <v>4.3150298682435029E-2</v>
      </c>
      <c r="R50" s="14">
        <f t="shared" si="23"/>
        <v>-2.3966094344471056E-2</v>
      </c>
      <c r="T50" s="13">
        <f t="shared" si="27"/>
        <v>16.90040872542156</v>
      </c>
      <c r="U50">
        <f t="shared" si="28"/>
        <v>0.6</v>
      </c>
      <c r="V50" s="19">
        <f t="shared" si="29"/>
        <v>0.4</v>
      </c>
      <c r="W50" s="20">
        <f t="shared" si="30"/>
        <v>7.4668705569704313E-2</v>
      </c>
      <c r="X50" s="21">
        <f t="shared" si="31"/>
        <v>7.4668705569704313E-2</v>
      </c>
    </row>
    <row r="51" spans="1:24" ht="17.25" customHeight="1">
      <c r="A51" s="22">
        <v>1971</v>
      </c>
      <c r="B51" s="16">
        <v>103.3</v>
      </c>
      <c r="C51" s="16">
        <v>3.07</v>
      </c>
      <c r="D51" s="16">
        <v>5.7</v>
      </c>
      <c r="E51" s="16">
        <v>41.1</v>
      </c>
      <c r="F51" s="18">
        <v>0.05</v>
      </c>
      <c r="G51" s="18">
        <v>5.9499999999999997E-2</v>
      </c>
      <c r="H51" s="13">
        <f t="shared" si="16"/>
        <v>793.23592457420921</v>
      </c>
      <c r="I51" s="13">
        <f t="shared" si="17"/>
        <v>23.574388077858881</v>
      </c>
      <c r="J51" s="13">
        <f t="shared" si="18"/>
        <v>43.770036496350365</v>
      </c>
      <c r="K51" s="13">
        <f t="shared" si="25"/>
        <v>46.360214960059963</v>
      </c>
      <c r="L51" s="13">
        <f t="shared" si="26"/>
        <v>17.110272790098023</v>
      </c>
      <c r="M51" s="14">
        <f t="shared" si="19"/>
        <v>0.13776874532035516</v>
      </c>
      <c r="N51" s="14">
        <f t="shared" si="24"/>
        <v>0.1017809261253074</v>
      </c>
      <c r="O51" s="15">
        <f t="shared" si="20"/>
        <v>0.17686350435624398</v>
      </c>
      <c r="P51" s="15">
        <f t="shared" si="21"/>
        <v>0.1380962359774501</v>
      </c>
      <c r="Q51" s="14">
        <f t="shared" si="22"/>
        <v>3.8674039621895639E-2</v>
      </c>
      <c r="R51" s="14">
        <f t="shared" si="23"/>
        <v>-3.1135497190969308E-2</v>
      </c>
      <c r="T51" s="13">
        <f t="shared" si="27"/>
        <v>16.351313364984392</v>
      </c>
      <c r="U51">
        <f t="shared" si="28"/>
        <v>0.6</v>
      </c>
      <c r="V51" s="19">
        <f t="shared" si="29"/>
        <v>0.4</v>
      </c>
      <c r="W51" s="20">
        <f t="shared" si="30"/>
        <v>0.10266124719221309</v>
      </c>
      <c r="X51" s="21">
        <f t="shared" si="31"/>
        <v>0.10266124719221309</v>
      </c>
    </row>
    <row r="52" spans="1:24" ht="17.25" customHeight="1">
      <c r="A52" s="22">
        <v>1972</v>
      </c>
      <c r="B52" s="16">
        <v>118.42</v>
      </c>
      <c r="C52" s="16">
        <v>3.15</v>
      </c>
      <c r="D52" s="16">
        <v>6.42</v>
      </c>
      <c r="E52" s="16">
        <v>42.5</v>
      </c>
      <c r="F52" s="18">
        <v>4.5999999999999999E-2</v>
      </c>
      <c r="G52" s="18">
        <v>5.6899999999999999E-2</v>
      </c>
      <c r="H52" s="13">
        <f t="shared" si="16"/>
        <v>879.38692000000003</v>
      </c>
      <c r="I52" s="13">
        <f t="shared" si="17"/>
        <v>23.3919</v>
      </c>
      <c r="J52" s="13">
        <f t="shared" si="18"/>
        <v>47.674920000000007</v>
      </c>
      <c r="K52" s="13">
        <f t="shared" si="25"/>
        <v>47.317607124533637</v>
      </c>
      <c r="L52" s="13">
        <f t="shared" si="26"/>
        <v>18.584771577429326</v>
      </c>
      <c r="M52" s="14">
        <f t="shared" si="19"/>
        <v>0.17686350435624398</v>
      </c>
      <c r="N52" s="14">
        <f t="shared" si="24"/>
        <v>0.1380962359774501</v>
      </c>
      <c r="O52" s="15">
        <f t="shared" si="20"/>
        <v>-0.15985475426448237</v>
      </c>
      <c r="P52" s="15">
        <f t="shared" si="21"/>
        <v>-0.22713911377143942</v>
      </c>
      <c r="Q52" s="14">
        <f t="shared" si="22"/>
        <v>-1.2453018780520519E-2</v>
      </c>
      <c r="R52" s="14">
        <f t="shared" si="23"/>
        <v>-8.4586671000937197E-2</v>
      </c>
      <c r="T52" s="13">
        <f t="shared" si="27"/>
        <v>17.110272790098023</v>
      </c>
      <c r="U52">
        <f t="shared" si="28"/>
        <v>0.6</v>
      </c>
      <c r="V52" s="19">
        <f t="shared" si="29"/>
        <v>0.4</v>
      </c>
      <c r="W52" s="20">
        <f t="shared" si="30"/>
        <v>0.12451810261374639</v>
      </c>
      <c r="X52" s="21">
        <f t="shared" si="31"/>
        <v>0.12451810261374639</v>
      </c>
    </row>
    <row r="53" spans="1:24" ht="17.25" customHeight="1">
      <c r="A53" s="22">
        <v>1973</v>
      </c>
      <c r="B53" s="16">
        <v>96.11</v>
      </c>
      <c r="C53" s="16">
        <v>3.38</v>
      </c>
      <c r="D53" s="16">
        <v>8.16</v>
      </c>
      <c r="E53" s="16">
        <v>46.2</v>
      </c>
      <c r="F53" s="18">
        <v>5.5199999999999999E-2</v>
      </c>
      <c r="G53" s="18">
        <v>6.1600000000000002E-2</v>
      </c>
      <c r="H53" s="13">
        <f t="shared" si="16"/>
        <v>656.55403787878788</v>
      </c>
      <c r="I53" s="13">
        <f t="shared" si="17"/>
        <v>23.089716450216446</v>
      </c>
      <c r="J53" s="13">
        <f t="shared" si="18"/>
        <v>55.743220779220785</v>
      </c>
      <c r="K53" s="13">
        <f t="shared" si="25"/>
        <v>48.786000076242132</v>
      </c>
      <c r="L53" s="13">
        <f t="shared" si="26"/>
        <v>13.457837019897791</v>
      </c>
      <c r="M53" s="14">
        <f t="shared" si="19"/>
        <v>-0.15985475426448237</v>
      </c>
      <c r="N53" s="14">
        <f t="shared" si="24"/>
        <v>-0.22713911377143942</v>
      </c>
      <c r="O53" s="15">
        <f t="shared" si="20"/>
        <v>-0.20757465404224321</v>
      </c>
      <c r="P53" s="15">
        <f t="shared" si="21"/>
        <v>-0.29460402729771928</v>
      </c>
      <c r="Q53" s="14">
        <f t="shared" si="22"/>
        <v>5.3545090524394601E-2</v>
      </c>
      <c r="R53" s="14">
        <f t="shared" si="23"/>
        <v>-2.3968601343904772E-2</v>
      </c>
      <c r="T53" s="13">
        <f t="shared" si="27"/>
        <v>18.584771577429326</v>
      </c>
      <c r="U53">
        <f t="shared" si="28"/>
        <v>0.6</v>
      </c>
      <c r="V53" s="19">
        <f t="shared" si="29"/>
        <v>0.4</v>
      </c>
      <c r="W53" s="20">
        <f t="shared" si="30"/>
        <v>-7.3832852558689419E-2</v>
      </c>
      <c r="X53" s="21">
        <f t="shared" si="31"/>
        <v>-7.3832852558689419E-2</v>
      </c>
    </row>
    <row r="54" spans="1:24" ht="17.25" customHeight="1">
      <c r="A54" s="22">
        <v>1974</v>
      </c>
      <c r="B54" s="16">
        <v>72.56</v>
      </c>
      <c r="C54" s="16">
        <v>3.6</v>
      </c>
      <c r="D54" s="16">
        <v>8.89</v>
      </c>
      <c r="E54" s="16">
        <v>51.9</v>
      </c>
      <c r="F54" s="18">
        <v>7.2700000000000001E-2</v>
      </c>
      <c r="G54" s="18">
        <v>6.8000000000000005E-2</v>
      </c>
      <c r="H54" s="13">
        <f t="shared" si="16"/>
        <v>441.23889788053958</v>
      </c>
      <c r="I54" s="13">
        <f t="shared" si="17"/>
        <v>21.891676300578037</v>
      </c>
      <c r="J54" s="13">
        <f t="shared" si="18"/>
        <v>54.060278420038543</v>
      </c>
      <c r="K54" s="13">
        <f t="shared" si="25"/>
        <v>49.58945500157931</v>
      </c>
      <c r="L54" s="13">
        <f t="shared" si="26"/>
        <v>8.8978372088680366</v>
      </c>
      <c r="M54" s="14">
        <f t="shared" si="19"/>
        <v>-0.20757465404224321</v>
      </c>
      <c r="N54" s="14">
        <f t="shared" si="24"/>
        <v>-0.29460402729771928</v>
      </c>
      <c r="O54" s="15">
        <f t="shared" si="20"/>
        <v>0.38561190738699003</v>
      </c>
      <c r="P54" s="15">
        <f t="shared" si="21"/>
        <v>0.29573437825918525</v>
      </c>
      <c r="Q54" s="14">
        <f t="shared" si="22"/>
        <v>0.13865932718214702</v>
      </c>
      <c r="R54" s="14">
        <f t="shared" si="23"/>
        <v>5.3096590604406302E-2</v>
      </c>
      <c r="T54" s="13">
        <f t="shared" si="27"/>
        <v>13.457837019897791</v>
      </c>
      <c r="U54">
        <f t="shared" si="28"/>
        <v>0.8</v>
      </c>
      <c r="V54" s="19">
        <f t="shared" si="29"/>
        <v>0.19999999999999996</v>
      </c>
      <c r="W54" s="20">
        <f t="shared" si="30"/>
        <v>-0.15151972323379459</v>
      </c>
      <c r="X54" s="21">
        <f t="shared" si="31"/>
        <v>-9.5464792425345918E-2</v>
      </c>
    </row>
    <row r="55" spans="1:24" ht="17.25" customHeight="1">
      <c r="A55" s="22">
        <v>1975</v>
      </c>
      <c r="B55" s="16">
        <v>96.86</v>
      </c>
      <c r="C55" s="16">
        <v>3.68</v>
      </c>
      <c r="D55" s="16">
        <v>7.96</v>
      </c>
      <c r="E55" s="16">
        <v>55.5</v>
      </c>
      <c r="F55" s="18">
        <v>7.3099999999999998E-2</v>
      </c>
      <c r="G55" s="18">
        <v>7.3099999999999998E-2</v>
      </c>
      <c r="H55" s="13">
        <f t="shared" si="16"/>
        <v>550.80180720720728</v>
      </c>
      <c r="I55" s="13">
        <f t="shared" si="17"/>
        <v>20.926601801801805</v>
      </c>
      <c r="J55" s="13">
        <f t="shared" si="18"/>
        <v>45.265149549549555</v>
      </c>
      <c r="K55" s="13">
        <f t="shared" si="25"/>
        <v>48.965058164081441</v>
      </c>
      <c r="L55" s="13">
        <f t="shared" si="26"/>
        <v>11.248874766195023</v>
      </c>
      <c r="M55" s="14">
        <f t="shared" si="19"/>
        <v>0.38561190738699003</v>
      </c>
      <c r="N55" s="14">
        <f t="shared" si="24"/>
        <v>0.29573437825918525</v>
      </c>
      <c r="O55" s="15">
        <f t="shared" si="20"/>
        <v>0.11356597150526537</v>
      </c>
      <c r="P55" s="15">
        <f t="shared" si="21"/>
        <v>6.190569447667043E-2</v>
      </c>
      <c r="Q55" s="14">
        <f t="shared" si="22"/>
        <v>0.11631518941677776</v>
      </c>
      <c r="R55" s="14">
        <f t="shared" si="23"/>
        <v>2.1982058567094453E-2</v>
      </c>
      <c r="T55" s="13">
        <f t="shared" si="27"/>
        <v>8.8978372088680366</v>
      </c>
      <c r="U55">
        <f t="shared" si="28"/>
        <v>0.8</v>
      </c>
      <c r="V55" s="19">
        <f t="shared" si="29"/>
        <v>0.19999999999999996</v>
      </c>
      <c r="W55" s="20">
        <f t="shared" si="30"/>
        <v>0.32310952590959208</v>
      </c>
      <c r="X55" s="21">
        <f t="shared" si="31"/>
        <v>0.26060714443219402</v>
      </c>
    </row>
    <row r="56" spans="1:24" ht="17.25" customHeight="1">
      <c r="A56" s="22">
        <v>1976</v>
      </c>
      <c r="B56" s="16">
        <v>103.81</v>
      </c>
      <c r="C56" s="16">
        <v>4.05</v>
      </c>
      <c r="D56" s="16">
        <v>9.91</v>
      </c>
      <c r="E56" s="16">
        <v>58.2</v>
      </c>
      <c r="F56" s="18">
        <v>6.6000000000000003E-2</v>
      </c>
      <c r="G56" s="18">
        <v>7.7600000000000002E-2</v>
      </c>
      <c r="H56" s="13">
        <f t="shared" si="16"/>
        <v>562.93737199312716</v>
      </c>
      <c r="I56" s="13">
        <f t="shared" si="17"/>
        <v>21.962203608247421</v>
      </c>
      <c r="J56" s="13">
        <f t="shared" si="18"/>
        <v>53.739614261168391</v>
      </c>
      <c r="K56" s="13">
        <f t="shared" si="25"/>
        <v>49.014983875912563</v>
      </c>
      <c r="L56" s="13">
        <f t="shared" si="26"/>
        <v>11.485005756979787</v>
      </c>
      <c r="M56" s="14">
        <f t="shared" si="19"/>
        <v>0.11356597150526537</v>
      </c>
      <c r="N56" s="14">
        <f t="shared" si="24"/>
        <v>6.190569447667043E-2</v>
      </c>
      <c r="O56" s="15">
        <f t="shared" si="20"/>
        <v>-8.5637221847606221E-2</v>
      </c>
      <c r="P56" s="15">
        <f t="shared" si="21"/>
        <v>-0.14306097120017197</v>
      </c>
      <c r="Q56" s="14">
        <f t="shared" si="22"/>
        <v>7.7244242252086703E-2</v>
      </c>
      <c r="R56" s="14">
        <f t="shared" si="23"/>
        <v>-2.1246771281970278E-2</v>
      </c>
      <c r="T56" s="13">
        <f t="shared" si="27"/>
        <v>11.248874766195023</v>
      </c>
      <c r="U56">
        <f t="shared" si="28"/>
        <v>0.8</v>
      </c>
      <c r="V56" s="19">
        <f t="shared" si="29"/>
        <v>0.19999999999999996</v>
      </c>
      <c r="W56" s="20">
        <f t="shared" si="30"/>
        <v>0.10405277720421231</v>
      </c>
      <c r="X56" s="21">
        <f t="shared" si="31"/>
        <v>9.4539582903159225E-2</v>
      </c>
    </row>
    <row r="57" spans="1:24" ht="17.25" customHeight="1">
      <c r="A57" s="22">
        <v>1977</v>
      </c>
      <c r="B57" s="16">
        <v>90.25</v>
      </c>
      <c r="C57" s="16">
        <v>4.67</v>
      </c>
      <c r="D57" s="16">
        <v>10.89</v>
      </c>
      <c r="E57" s="16">
        <v>62.1</v>
      </c>
      <c r="F57" s="18">
        <v>4.8899999999999999E-2</v>
      </c>
      <c r="G57" s="18">
        <v>6.0999999999999999E-2</v>
      </c>
      <c r="H57" s="13">
        <f t="shared" si="16"/>
        <v>458.66910225442837</v>
      </c>
      <c r="I57" s="13">
        <f t="shared" si="17"/>
        <v>23.733902576489534</v>
      </c>
      <c r="J57" s="13">
        <f t="shared" si="18"/>
        <v>55.345224637681163</v>
      </c>
      <c r="K57" s="13">
        <f t="shared" si="25"/>
        <v>49.587339230536145</v>
      </c>
      <c r="L57" s="13">
        <f t="shared" si="26"/>
        <v>9.2497219929876273</v>
      </c>
      <c r="M57" s="14">
        <f t="shared" si="19"/>
        <v>-8.5637221847606221E-2</v>
      </c>
      <c r="N57" s="14">
        <f t="shared" si="24"/>
        <v>-0.14306097120017197</v>
      </c>
      <c r="O57" s="15">
        <f t="shared" si="20"/>
        <v>0.16099722991689744</v>
      </c>
      <c r="P57" s="15">
        <f t="shared" si="21"/>
        <v>6.4962008535292923E-2</v>
      </c>
      <c r="Q57" s="14">
        <f t="shared" si="22"/>
        <v>0.15377617291406098</v>
      </c>
      <c r="R57" s="14">
        <f t="shared" si="23"/>
        <v>5.4022598682240464E-2</v>
      </c>
      <c r="T57" s="13">
        <f t="shared" si="27"/>
        <v>11.485005756979787</v>
      </c>
      <c r="U57">
        <f t="shared" si="28"/>
        <v>0.8</v>
      </c>
      <c r="V57" s="19">
        <f t="shared" si="29"/>
        <v>0.19999999999999996</v>
      </c>
      <c r="W57" s="20">
        <f t="shared" si="30"/>
        <v>-5.8729777478084985E-2</v>
      </c>
      <c r="X57" s="21">
        <f t="shared" si="31"/>
        <v>-3.1822333108563729E-2</v>
      </c>
    </row>
    <row r="58" spans="1:24" ht="17.25" customHeight="1">
      <c r="A58" s="22">
        <v>1978</v>
      </c>
      <c r="B58" s="16">
        <v>99.71</v>
      </c>
      <c r="C58" s="16">
        <v>5.07</v>
      </c>
      <c r="D58" s="16">
        <v>12.33</v>
      </c>
      <c r="E58" s="16">
        <v>67.7</v>
      </c>
      <c r="F58" s="18">
        <v>6.9599999999999995E-2</v>
      </c>
      <c r="G58" s="18">
        <v>7.4800000000000005E-2</v>
      </c>
      <c r="H58" s="13">
        <f t="shared" si="16"/>
        <v>464.82975701624815</v>
      </c>
      <c r="I58" s="13">
        <f t="shared" si="17"/>
        <v>23.635411373707534</v>
      </c>
      <c r="J58" s="13">
        <f t="shared" si="18"/>
        <v>57.480201624815365</v>
      </c>
      <c r="K58" s="13">
        <f t="shared" si="25"/>
        <v>50.214557139496556</v>
      </c>
      <c r="L58" s="13">
        <f t="shared" si="26"/>
        <v>9.2568725783032662</v>
      </c>
      <c r="M58" s="14">
        <f t="shared" si="19"/>
        <v>0.16099722991689744</v>
      </c>
      <c r="N58" s="14">
        <f t="shared" si="24"/>
        <v>6.4962008535292923E-2</v>
      </c>
      <c r="O58" s="15">
        <f t="shared" si="20"/>
        <v>0.16858890783271499</v>
      </c>
      <c r="P58" s="15">
        <f t="shared" si="21"/>
        <v>3.1466350199150034E-2</v>
      </c>
      <c r="Q58" s="14">
        <f t="shared" si="22"/>
        <v>0.16190335452869475</v>
      </c>
      <c r="R58" s="14">
        <f t="shared" si="23"/>
        <v>7.1928579728339326E-2</v>
      </c>
      <c r="T58" s="13">
        <f t="shared" si="27"/>
        <v>9.2497219929876273</v>
      </c>
      <c r="U58">
        <f t="shared" si="28"/>
        <v>0.8</v>
      </c>
      <c r="V58" s="19">
        <f t="shared" si="29"/>
        <v>0.19999999999999996</v>
      </c>
      <c r="W58" s="20">
        <f t="shared" si="30"/>
        <v>0.14271778393351794</v>
      </c>
      <c r="X58" s="21">
        <f t="shared" si="31"/>
        <v>0.12443833795013846</v>
      </c>
    </row>
    <row r="59" spans="1:24" ht="17.25" customHeight="1">
      <c r="A59" s="22">
        <v>1979</v>
      </c>
      <c r="B59" s="16">
        <v>110.87</v>
      </c>
      <c r="C59" s="16">
        <v>5.65</v>
      </c>
      <c r="D59" s="16">
        <v>14.86</v>
      </c>
      <c r="E59" s="16">
        <v>76.7</v>
      </c>
      <c r="F59" s="18">
        <v>0.10299999999999999</v>
      </c>
      <c r="G59" s="18">
        <v>9.0800000000000006E-2</v>
      </c>
      <c r="H59" s="13">
        <f t="shared" si="16"/>
        <v>456.20764471968715</v>
      </c>
      <c r="I59" s="13">
        <f t="shared" si="17"/>
        <v>23.248608213820081</v>
      </c>
      <c r="J59" s="13">
        <f t="shared" si="18"/>
        <v>61.145897001303773</v>
      </c>
      <c r="K59" s="13">
        <f t="shared" si="25"/>
        <v>51.490428271987675</v>
      </c>
      <c r="L59" s="13">
        <f t="shared" si="26"/>
        <v>8.8600475861234518</v>
      </c>
      <c r="M59" s="14">
        <f t="shared" si="19"/>
        <v>0.16858890783271499</v>
      </c>
      <c r="N59" s="14">
        <f t="shared" si="24"/>
        <v>3.1466350199150034E-2</v>
      </c>
      <c r="O59" s="15">
        <f t="shared" si="20"/>
        <v>0.25489311806620363</v>
      </c>
      <c r="P59" s="15">
        <f t="shared" si="21"/>
        <v>0.11529898210518903</v>
      </c>
      <c r="Q59" s="14">
        <f t="shared" si="22"/>
        <v>0.14301182459031225</v>
      </c>
      <c r="R59" s="14">
        <f t="shared" si="23"/>
        <v>7.2813232902102509E-2</v>
      </c>
      <c r="T59" s="13">
        <f t="shared" si="27"/>
        <v>9.2568725783032662</v>
      </c>
      <c r="U59">
        <f t="shared" si="28"/>
        <v>0.8</v>
      </c>
      <c r="V59" s="19">
        <f t="shared" si="29"/>
        <v>0.19999999999999996</v>
      </c>
      <c r="W59" s="20">
        <f t="shared" si="30"/>
        <v>0.15547112626617199</v>
      </c>
      <c r="X59" s="21">
        <f t="shared" si="31"/>
        <v>0.14235334469962899</v>
      </c>
    </row>
    <row r="60" spans="1:24" ht="17.25" customHeight="1">
      <c r="A60" s="22">
        <v>1980</v>
      </c>
      <c r="B60" s="16">
        <v>132.97</v>
      </c>
      <c r="C60" s="16">
        <v>6.16</v>
      </c>
      <c r="D60" s="16">
        <v>14.82</v>
      </c>
      <c r="E60" s="16">
        <v>86.3</v>
      </c>
      <c r="F60" s="18">
        <v>0.1198</v>
      </c>
      <c r="G60" s="18">
        <v>0.1042</v>
      </c>
      <c r="H60" s="13">
        <f t="shared" si="16"/>
        <v>486.28038064889921</v>
      </c>
      <c r="I60" s="13">
        <f t="shared" si="17"/>
        <v>22.527541135573582</v>
      </c>
      <c r="J60" s="13">
        <f t="shared" si="18"/>
        <v>54.197753186558522</v>
      </c>
      <c r="K60" s="13">
        <f t="shared" si="25"/>
        <v>52.842229595668641</v>
      </c>
      <c r="L60" s="13">
        <f t="shared" si="26"/>
        <v>9.2024955110667488</v>
      </c>
      <c r="M60" s="14">
        <f t="shared" si="19"/>
        <v>0.25489311806620363</v>
      </c>
      <c r="N60" s="14">
        <f t="shared" si="24"/>
        <v>0.11529898210518903</v>
      </c>
      <c r="O60" s="15">
        <f t="shared" si="20"/>
        <v>-6.8135669699932302E-2</v>
      </c>
      <c r="P60" s="15">
        <f t="shared" si="21"/>
        <v>-0.14446923718195903</v>
      </c>
      <c r="Q60" s="14">
        <f t="shared" si="22"/>
        <v>0.1437939402786983</v>
      </c>
      <c r="R60" s="14">
        <f t="shared" si="23"/>
        <v>9.1002932972087391E-2</v>
      </c>
      <c r="T60" s="13">
        <f t="shared" si="27"/>
        <v>8.8600475861234518</v>
      </c>
      <c r="U60">
        <f t="shared" si="28"/>
        <v>0.8</v>
      </c>
      <c r="V60" s="19">
        <f t="shared" si="29"/>
        <v>0.19999999999999996</v>
      </c>
      <c r="W60" s="20">
        <f t="shared" si="30"/>
        <v>0.22787449445296293</v>
      </c>
      <c r="X60" s="21">
        <f t="shared" si="31"/>
        <v>0.20085587083972217</v>
      </c>
    </row>
    <row r="61" spans="1:24" ht="17.25" customHeight="1">
      <c r="A61" s="22">
        <v>1981</v>
      </c>
      <c r="B61" s="16">
        <v>117.28</v>
      </c>
      <c r="C61" s="16">
        <v>6.63</v>
      </c>
      <c r="D61" s="16">
        <v>15.36</v>
      </c>
      <c r="E61" s="16">
        <v>94</v>
      </c>
      <c r="F61" s="18">
        <v>0.14879999999999999</v>
      </c>
      <c r="G61" s="18">
        <v>0.13250000000000001</v>
      </c>
      <c r="H61" s="13">
        <f t="shared" si="16"/>
        <v>393.76760000000007</v>
      </c>
      <c r="I61" s="13">
        <f t="shared" si="17"/>
        <v>22.260224999999998</v>
      </c>
      <c r="J61" s="13">
        <f t="shared" si="18"/>
        <v>51.571199999999997</v>
      </c>
      <c r="K61" s="13">
        <f t="shared" si="25"/>
        <v>53.622345946033612</v>
      </c>
      <c r="L61" s="13">
        <f t="shared" si="26"/>
        <v>7.3433489910399317</v>
      </c>
      <c r="M61" s="14">
        <f t="shared" si="19"/>
        <v>-6.8135669699932302E-2</v>
      </c>
      <c r="N61" s="14">
        <f t="shared" si="24"/>
        <v>-0.14446923718195903</v>
      </c>
      <c r="O61" s="15">
        <f t="shared" si="20"/>
        <v>0.28871077762619379</v>
      </c>
      <c r="P61" s="15">
        <f t="shared" si="21"/>
        <v>0.24117636369735859</v>
      </c>
      <c r="Q61" s="14">
        <f t="shared" si="22"/>
        <v>0.22447795266120862</v>
      </c>
      <c r="R61" s="14">
        <f t="shared" si="23"/>
        <v>0.18550689703437495</v>
      </c>
      <c r="T61" s="13">
        <f t="shared" si="27"/>
        <v>9.2024955110667488</v>
      </c>
      <c r="U61">
        <f t="shared" si="28"/>
        <v>0.8</v>
      </c>
      <c r="V61" s="19">
        <f t="shared" si="29"/>
        <v>0.19999999999999996</v>
      </c>
      <c r="W61" s="20">
        <f t="shared" si="30"/>
        <v>-2.4748535759945855E-2</v>
      </c>
      <c r="X61" s="21">
        <f t="shared" si="31"/>
        <v>1.8638598180040614E-2</v>
      </c>
    </row>
    <row r="62" spans="1:24" ht="17.25" customHeight="1">
      <c r="A62" s="22">
        <v>1982</v>
      </c>
      <c r="B62" s="16">
        <v>144.27000000000001</v>
      </c>
      <c r="C62" s="16">
        <v>6.87</v>
      </c>
      <c r="D62" s="16">
        <v>12.64</v>
      </c>
      <c r="E62" s="16">
        <v>97.6</v>
      </c>
      <c r="F62" s="18">
        <v>0.1285</v>
      </c>
      <c r="G62" s="18">
        <v>0.13600000000000001</v>
      </c>
      <c r="H62" s="13">
        <f t="shared" si="16"/>
        <v>466.51980891393447</v>
      </c>
      <c r="I62" s="13">
        <f t="shared" si="17"/>
        <v>22.21522899590164</v>
      </c>
      <c r="J62" s="13">
        <f t="shared" si="18"/>
        <v>40.873434426229522</v>
      </c>
      <c r="K62" s="13">
        <f t="shared" si="25"/>
        <v>52.942197388656567</v>
      </c>
      <c r="L62" s="13">
        <f t="shared" si="26"/>
        <v>8.8118709068522971</v>
      </c>
      <c r="M62" s="14">
        <f t="shared" si="19"/>
        <v>0.28871077762619379</v>
      </c>
      <c r="N62" s="14">
        <f t="shared" si="24"/>
        <v>0.24117636369735859</v>
      </c>
      <c r="O62" s="15">
        <f t="shared" si="20"/>
        <v>0.20246759548069573</v>
      </c>
      <c r="P62" s="15">
        <f t="shared" si="21"/>
        <v>0.15854725882444137</v>
      </c>
      <c r="Q62" s="14">
        <f t="shared" si="22"/>
        <v>0.15928071731410953</v>
      </c>
      <c r="R62" s="14">
        <f t="shared" si="23"/>
        <v>0.12108208855846558</v>
      </c>
      <c r="T62" s="13">
        <f t="shared" si="27"/>
        <v>7.3433489910399317</v>
      </c>
      <c r="U62">
        <f t="shared" si="28"/>
        <v>0.8</v>
      </c>
      <c r="V62" s="19">
        <f t="shared" si="29"/>
        <v>0.19999999999999996</v>
      </c>
      <c r="W62" s="20">
        <f t="shared" si="30"/>
        <v>0.25666862210095504</v>
      </c>
      <c r="X62" s="21">
        <f t="shared" si="31"/>
        <v>0.22462646657571628</v>
      </c>
    </row>
    <row r="63" spans="1:24" ht="17.25" customHeight="1">
      <c r="A63" s="22">
        <v>1983</v>
      </c>
      <c r="B63" s="16">
        <v>166.39</v>
      </c>
      <c r="C63" s="16">
        <v>7.09</v>
      </c>
      <c r="D63" s="16">
        <v>14.03</v>
      </c>
      <c r="E63" s="16">
        <v>101.3</v>
      </c>
      <c r="F63" s="18">
        <v>8.9099999999999999E-2</v>
      </c>
      <c r="G63" s="18">
        <v>0.1022</v>
      </c>
      <c r="H63" s="13">
        <f t="shared" si="16"/>
        <v>518.39601135241855</v>
      </c>
      <c r="I63" s="13">
        <f t="shared" si="17"/>
        <v>22.089234452122408</v>
      </c>
      <c r="J63" s="13">
        <f t="shared" si="18"/>
        <v>43.71113672260612</v>
      </c>
      <c r="K63" s="13">
        <f t="shared" si="25"/>
        <v>51.738988982995103</v>
      </c>
      <c r="L63" s="13">
        <f t="shared" si="26"/>
        <v>10.019446099397076</v>
      </c>
      <c r="M63" s="14">
        <f t="shared" si="19"/>
        <v>0.20246759548069573</v>
      </c>
      <c r="N63" s="14">
        <f t="shared" si="24"/>
        <v>0.15854725882444137</v>
      </c>
      <c r="O63" s="15">
        <f t="shared" si="20"/>
        <v>7.6627201153915678E-2</v>
      </c>
      <c r="P63" s="15">
        <f t="shared" si="21"/>
        <v>3.5729681641896056E-2</v>
      </c>
      <c r="Q63" s="14">
        <f t="shared" si="22"/>
        <v>0.15458241727368116</v>
      </c>
      <c r="R63" s="14">
        <f t="shared" si="23"/>
        <v>0.11519141941190836</v>
      </c>
      <c r="T63" s="13">
        <f t="shared" si="27"/>
        <v>8.8118709068522971</v>
      </c>
      <c r="U63">
        <f t="shared" si="28"/>
        <v>0.8</v>
      </c>
      <c r="V63" s="19">
        <f t="shared" si="29"/>
        <v>0.19999999999999996</v>
      </c>
      <c r="W63" s="20">
        <f t="shared" si="30"/>
        <v>0.17979407638455661</v>
      </c>
      <c r="X63" s="21">
        <f t="shared" si="31"/>
        <v>0.15712055728841742</v>
      </c>
    </row>
    <row r="64" spans="1:24" ht="17.25" customHeight="1">
      <c r="A64" s="22">
        <v>1984</v>
      </c>
      <c r="B64" s="16">
        <v>171.61</v>
      </c>
      <c r="C64" s="16">
        <v>7.53</v>
      </c>
      <c r="D64" s="16">
        <v>16.64</v>
      </c>
      <c r="E64" s="16">
        <v>105.3</v>
      </c>
      <c r="F64" s="18">
        <v>0.1011</v>
      </c>
      <c r="G64" s="18">
        <v>0.1154</v>
      </c>
      <c r="H64" s="13">
        <f t="shared" si="16"/>
        <v>514.34923124406464</v>
      </c>
      <c r="I64" s="13">
        <f t="shared" si="17"/>
        <v>22.568904558404562</v>
      </c>
      <c r="J64" s="13">
        <f t="shared" si="18"/>
        <v>49.873382716049385</v>
      </c>
      <c r="K64" s="13">
        <f t="shared" si="25"/>
        <v>51.320299412596185</v>
      </c>
      <c r="L64" s="13">
        <f t="shared" si="26"/>
        <v>10.0223349655248</v>
      </c>
      <c r="M64" s="14">
        <f t="shared" si="19"/>
        <v>7.6627201153915678E-2</v>
      </c>
      <c r="N64" s="14">
        <f t="shared" si="24"/>
        <v>3.5729681641896056E-2</v>
      </c>
      <c r="O64" s="15">
        <f t="shared" si="20"/>
        <v>0.2591923547578811</v>
      </c>
      <c r="P64" s="15">
        <f t="shared" si="21"/>
        <v>0.21311029236966947</v>
      </c>
      <c r="Q64" s="14">
        <f t="shared" si="22"/>
        <v>0.18572616974899314</v>
      </c>
      <c r="R64" s="14">
        <f t="shared" si="23"/>
        <v>0.14373934716565939</v>
      </c>
      <c r="T64" s="13">
        <f t="shared" si="27"/>
        <v>10.019446099397076</v>
      </c>
      <c r="U64">
        <f t="shared" si="28"/>
        <v>0.8</v>
      </c>
      <c r="V64" s="19">
        <f t="shared" si="29"/>
        <v>0.19999999999999996</v>
      </c>
      <c r="W64" s="20">
        <f t="shared" si="30"/>
        <v>8.1521760923132541E-2</v>
      </c>
      <c r="X64" s="21">
        <f t="shared" si="31"/>
        <v>8.6416320692349419E-2</v>
      </c>
    </row>
    <row r="65" spans="1:24" ht="17.25" customHeight="1">
      <c r="A65" s="22">
        <v>1985</v>
      </c>
      <c r="B65" s="16">
        <v>208.19</v>
      </c>
      <c r="C65" s="16">
        <v>7.9</v>
      </c>
      <c r="D65" s="16">
        <v>14.61</v>
      </c>
      <c r="E65" s="16">
        <v>109.3</v>
      </c>
      <c r="F65" s="18">
        <v>9.3299999999999994E-2</v>
      </c>
      <c r="G65" s="18">
        <v>0.11070000000000001</v>
      </c>
      <c r="H65" s="13">
        <f t="shared" si="16"/>
        <v>601.15100594693502</v>
      </c>
      <c r="I65" s="13">
        <f t="shared" si="17"/>
        <v>22.811340347666977</v>
      </c>
      <c r="J65" s="13">
        <f t="shared" si="18"/>
        <v>42.186542086001829</v>
      </c>
      <c r="K65" s="13">
        <f t="shared" si="25"/>
        <v>51.012438666241408</v>
      </c>
      <c r="L65" s="13">
        <f t="shared" si="26"/>
        <v>11.784400465150862</v>
      </c>
      <c r="M65" s="14">
        <f t="shared" si="19"/>
        <v>0.2591923547578811</v>
      </c>
      <c r="N65" s="14">
        <f t="shared" si="24"/>
        <v>0.21311029236966947</v>
      </c>
      <c r="O65" s="15">
        <f t="shared" si="20"/>
        <v>0.31029348191555789</v>
      </c>
      <c r="P65" s="15">
        <f t="shared" si="21"/>
        <v>0.29606405043774203</v>
      </c>
      <c r="Q65" s="14">
        <f t="shared" si="22"/>
        <v>0.13072855036191</v>
      </c>
      <c r="R65" s="14">
        <f t="shared" si="23"/>
        <v>8.590333704374209E-2</v>
      </c>
      <c r="T65" s="13">
        <f t="shared" si="27"/>
        <v>10.0223349655248</v>
      </c>
      <c r="U65">
        <f t="shared" si="28"/>
        <v>0.8</v>
      </c>
      <c r="V65" s="19">
        <f t="shared" si="29"/>
        <v>0.19999999999999996</v>
      </c>
      <c r="W65" s="20">
        <f t="shared" si="30"/>
        <v>0.22601388380630488</v>
      </c>
      <c r="X65" s="21">
        <f t="shared" si="31"/>
        <v>0.19283541285472866</v>
      </c>
    </row>
    <row r="66" spans="1:24" ht="17.25" customHeight="1">
      <c r="A66" s="22">
        <v>1986</v>
      </c>
      <c r="B66" s="16">
        <v>264.51</v>
      </c>
      <c r="C66" s="16">
        <v>8.2799999999999994</v>
      </c>
      <c r="D66" s="16">
        <v>14.48</v>
      </c>
      <c r="E66" s="16">
        <v>110.5</v>
      </c>
      <c r="F66" s="18">
        <v>7.6700000000000004E-2</v>
      </c>
      <c r="G66" s="18">
        <v>8.7300000000000003E-2</v>
      </c>
      <c r="H66" s="13">
        <f t="shared" si="16"/>
        <v>755.48125384615389</v>
      </c>
      <c r="I66" s="13">
        <f t="shared" si="17"/>
        <v>23.648953846153848</v>
      </c>
      <c r="J66" s="13">
        <f t="shared" si="18"/>
        <v>41.357107692307693</v>
      </c>
      <c r="K66" s="13">
        <f t="shared" si="25"/>
        <v>49.774188009355342</v>
      </c>
      <c r="L66" s="13">
        <f t="shared" si="26"/>
        <v>15.178173347682877</v>
      </c>
      <c r="M66" s="14">
        <f t="shared" si="19"/>
        <v>0.31029348191555789</v>
      </c>
      <c r="N66" s="14">
        <f t="shared" si="24"/>
        <v>0.29606405043774203</v>
      </c>
      <c r="O66" s="15">
        <f t="shared" si="20"/>
        <v>-1.9734603606668937E-2</v>
      </c>
      <c r="P66" s="15">
        <f t="shared" si="21"/>
        <v>-6.1357657699626672E-2</v>
      </c>
      <c r="Q66" s="14">
        <f t="shared" si="22"/>
        <v>0.13167051860364287</v>
      </c>
      <c r="R66" s="14">
        <f t="shared" si="23"/>
        <v>8.2628871119756031E-2</v>
      </c>
      <c r="T66" s="13">
        <f t="shared" si="27"/>
        <v>11.784400465150862</v>
      </c>
      <c r="U66">
        <f t="shared" si="28"/>
        <v>0.8</v>
      </c>
      <c r="V66" s="19">
        <f t="shared" si="29"/>
        <v>0.19999999999999996</v>
      </c>
      <c r="W66" s="20">
        <f t="shared" si="30"/>
        <v>0.26357478553244634</v>
      </c>
      <c r="X66" s="21">
        <f t="shared" si="31"/>
        <v>0.21685608914933474</v>
      </c>
    </row>
    <row r="67" spans="1:24" ht="17.25" customHeight="1">
      <c r="A67" s="22">
        <v>1987</v>
      </c>
      <c r="B67" s="16">
        <v>250.48</v>
      </c>
      <c r="C67" s="16">
        <v>8.81</v>
      </c>
      <c r="D67" s="16">
        <v>17.5</v>
      </c>
      <c r="E67" s="16">
        <v>115.4</v>
      </c>
      <c r="F67" s="18">
        <v>5.8700000000000002E-2</v>
      </c>
      <c r="G67" s="18">
        <v>6.6699999999999995E-2</v>
      </c>
      <c r="H67" s="13">
        <f t="shared" ref="H67:H98" si="32">B67 / E67 * $E$104</f>
        <v>685.03241247833625</v>
      </c>
      <c r="I67" s="13">
        <f t="shared" ref="I67:I98" si="33">C67 / E67 * $E$104</f>
        <v>24.094281195840558</v>
      </c>
      <c r="J67" s="13">
        <f t="shared" ref="J67:J98" si="34">D67 / E67 * $E$104</f>
        <v>47.860376949740036</v>
      </c>
      <c r="K67" s="13">
        <f t="shared" si="25"/>
        <v>49.025703240561221</v>
      </c>
      <c r="L67" s="13">
        <f t="shared" si="26"/>
        <v>13.972923735881823</v>
      </c>
      <c r="M67" s="14">
        <f t="shared" ref="M67:M98" si="35">(B67-B66+C67)/B66</f>
        <v>-1.9734603606668937E-2</v>
      </c>
      <c r="N67" s="14">
        <f t="shared" si="24"/>
        <v>-6.1357657699626672E-2</v>
      </c>
      <c r="O67" s="15">
        <f t="shared" ref="O67:O103" si="36">M68</f>
        <v>0.17829766847652523</v>
      </c>
      <c r="P67" s="15">
        <f t="shared" ref="P67:P103" si="37">N68</f>
        <v>0.128427808648888</v>
      </c>
      <c r="Q67" s="14">
        <f t="shared" ref="Q67:Q98" si="38">((1+M68)*(1+M69)*(1+M70)*(1+M71)*(1+M72))^(1/5)-1</f>
        <v>0.15291119326097791</v>
      </c>
      <c r="R67" s="14">
        <f t="shared" ref="R67:R98" si="39">((1+N68)*(1+N69)*(1+N70)*(1+N71)*(1+N72))^(1/5)-1</f>
        <v>0.10621753495786357</v>
      </c>
      <c r="T67" s="13">
        <f t="shared" si="27"/>
        <v>15.178173347682877</v>
      </c>
      <c r="U67">
        <f t="shared" si="28"/>
        <v>0.6</v>
      </c>
      <c r="V67" s="19">
        <f t="shared" si="29"/>
        <v>0.4</v>
      </c>
      <c r="W67" s="20">
        <f t="shared" si="30"/>
        <v>1.1639237835998639E-2</v>
      </c>
      <c r="X67" s="21">
        <f t="shared" si="31"/>
        <v>1.1639237835998639E-2</v>
      </c>
    </row>
    <row r="68" spans="1:24" ht="17.25" customHeight="1">
      <c r="A68" s="22">
        <v>1988</v>
      </c>
      <c r="B68" s="16">
        <v>285.41000000000003</v>
      </c>
      <c r="C68" s="16">
        <v>9.73</v>
      </c>
      <c r="D68" s="16">
        <v>23.76</v>
      </c>
      <c r="E68" s="16">
        <v>120.5</v>
      </c>
      <c r="F68" s="18">
        <v>7.17E-2</v>
      </c>
      <c r="G68" s="18">
        <v>8.4500000000000006E-2</v>
      </c>
      <c r="H68" s="13">
        <f t="shared" si="32"/>
        <v>747.52550248962666</v>
      </c>
      <c r="I68" s="13">
        <f t="shared" si="33"/>
        <v>25.484121576763489</v>
      </c>
      <c r="J68" s="13">
        <f t="shared" si="34"/>
        <v>62.230496265560177</v>
      </c>
      <c r="K68" s="13">
        <f t="shared" si="25"/>
        <v>49.500732704635709</v>
      </c>
      <c r="L68" s="13">
        <f t="shared" si="26"/>
        <v>15.101301771632594</v>
      </c>
      <c r="M68" s="14">
        <f t="shared" si="35"/>
        <v>0.17829766847652523</v>
      </c>
      <c r="N68" s="14">
        <f t="shared" ref="N68:N104" si="40">(H68-H67+I68)/H67</f>
        <v>0.128427808648888</v>
      </c>
      <c r="O68" s="15">
        <f t="shared" si="36"/>
        <v>0.2298798220104411</v>
      </c>
      <c r="P68" s="15">
        <f t="shared" si="37"/>
        <v>0.17526184418920032</v>
      </c>
      <c r="Q68" s="14">
        <f t="shared" si="38"/>
        <v>0.14038489625271033</v>
      </c>
      <c r="R68" s="14">
        <f t="shared" si="39"/>
        <v>9.7734620549208895E-2</v>
      </c>
      <c r="T68" s="13">
        <f t="shared" si="27"/>
        <v>13.972923735881823</v>
      </c>
      <c r="U68">
        <f t="shared" si="28"/>
        <v>0.8</v>
      </c>
      <c r="V68" s="19">
        <f t="shared" si="29"/>
        <v>0.19999999999999996</v>
      </c>
      <c r="W68" s="20">
        <f t="shared" si="30"/>
        <v>0.15697813478122019</v>
      </c>
      <c r="X68" s="21">
        <f t="shared" si="31"/>
        <v>0.13565860108591513</v>
      </c>
    </row>
    <row r="69" spans="1:24" ht="17.25" customHeight="1">
      <c r="A69" s="22">
        <v>1989</v>
      </c>
      <c r="B69" s="16">
        <v>339.97</v>
      </c>
      <c r="C69" s="16">
        <v>11.05</v>
      </c>
      <c r="D69" s="16">
        <v>22.87</v>
      </c>
      <c r="E69" s="16">
        <v>126.1</v>
      </c>
      <c r="F69" s="18">
        <v>8.9899999999999994E-2</v>
      </c>
      <c r="G69" s="18">
        <v>9.0899999999999995E-2</v>
      </c>
      <c r="H69" s="13">
        <f t="shared" si="32"/>
        <v>850.8820923869946</v>
      </c>
      <c r="I69" s="13">
        <f t="shared" si="33"/>
        <v>27.656108247422683</v>
      </c>
      <c r="J69" s="13">
        <f t="shared" si="34"/>
        <v>57.239384218873923</v>
      </c>
      <c r="K69" s="13">
        <f t="shared" si="25"/>
        <v>49.110081426392718</v>
      </c>
      <c r="L69" s="13">
        <f t="shared" si="26"/>
        <v>17.326016729626392</v>
      </c>
      <c r="M69" s="14">
        <f t="shared" si="35"/>
        <v>0.2298798220104411</v>
      </c>
      <c r="N69" s="14">
        <f t="shared" si="40"/>
        <v>0.17526184418920032</v>
      </c>
      <c r="O69" s="15">
        <f t="shared" si="36"/>
        <v>-6.9712033414713872E-3</v>
      </c>
      <c r="P69" s="15">
        <f t="shared" si="37"/>
        <v>-6.4118600458591635E-2</v>
      </c>
      <c r="Q69" s="14">
        <f t="shared" si="38"/>
        <v>9.6660523635383244E-2</v>
      </c>
      <c r="R69" s="14">
        <f t="shared" si="39"/>
        <v>5.9670557339268182E-2</v>
      </c>
      <c r="T69" s="13">
        <f t="shared" si="27"/>
        <v>15.101301771632594</v>
      </c>
      <c r="U69">
        <f t="shared" si="28"/>
        <v>0.6</v>
      </c>
      <c r="V69" s="19">
        <f t="shared" si="29"/>
        <v>0.4</v>
      </c>
      <c r="W69" s="20">
        <f t="shared" si="30"/>
        <v>0.17388789320626466</v>
      </c>
      <c r="X69" s="21">
        <f t="shared" si="31"/>
        <v>0.17388789320626466</v>
      </c>
    </row>
    <row r="70" spans="1:24" ht="17.25" customHeight="1">
      <c r="A70" s="22">
        <v>1990</v>
      </c>
      <c r="B70" s="16">
        <v>325.5</v>
      </c>
      <c r="C70" s="16">
        <v>12.1</v>
      </c>
      <c r="D70" s="16">
        <v>21.34</v>
      </c>
      <c r="E70" s="16">
        <v>133.80000000000001</v>
      </c>
      <c r="F70" s="18">
        <v>7.7200000000000005E-2</v>
      </c>
      <c r="G70" s="18">
        <v>7.7499999999999999E-2</v>
      </c>
      <c r="H70" s="13">
        <f t="shared" si="32"/>
        <v>767.7834641255605</v>
      </c>
      <c r="I70" s="13">
        <f t="shared" si="33"/>
        <v>28.541259342301942</v>
      </c>
      <c r="J70" s="13">
        <f t="shared" si="34"/>
        <v>50.33640284005979</v>
      </c>
      <c r="K70" s="13">
        <f t="shared" si="25"/>
        <v>48.723946391742849</v>
      </c>
      <c r="L70" s="13">
        <f t="shared" si="26"/>
        <v>15.757825894326064</v>
      </c>
      <c r="M70" s="14">
        <f t="shared" si="35"/>
        <v>-6.9712033414713872E-3</v>
      </c>
      <c r="N70" s="14">
        <f t="shared" si="40"/>
        <v>-6.4118600458591635E-2</v>
      </c>
      <c r="O70" s="15">
        <f t="shared" si="36"/>
        <v>0.31576036866359442</v>
      </c>
      <c r="P70" s="15">
        <f t="shared" si="37"/>
        <v>0.27664058975481459</v>
      </c>
      <c r="Q70" s="14">
        <f t="shared" si="38"/>
        <v>0.16617448367166432</v>
      </c>
      <c r="R70" s="14">
        <f t="shared" si="39"/>
        <v>0.13457466455035316</v>
      </c>
      <c r="T70" s="13">
        <f t="shared" si="27"/>
        <v>17.326016729626392</v>
      </c>
      <c r="U70">
        <f t="shared" si="28"/>
        <v>0.6</v>
      </c>
      <c r="V70" s="19">
        <f t="shared" si="29"/>
        <v>0.4</v>
      </c>
      <c r="W70" s="20">
        <f t="shared" si="30"/>
        <v>2.6697277995117175E-2</v>
      </c>
      <c r="X70" s="21">
        <f t="shared" si="31"/>
        <v>2.6697277995117175E-2</v>
      </c>
    </row>
    <row r="71" spans="1:24" ht="17.25" customHeight="1">
      <c r="A71" s="22">
        <v>1991</v>
      </c>
      <c r="B71" s="16">
        <v>416.08</v>
      </c>
      <c r="C71" s="16">
        <v>12.2</v>
      </c>
      <c r="D71" s="16">
        <v>15.91</v>
      </c>
      <c r="E71" s="16">
        <v>137.9</v>
      </c>
      <c r="F71" s="18">
        <v>7.0499999999999993E-2</v>
      </c>
      <c r="G71" s="18">
        <v>7.7299999999999994E-2</v>
      </c>
      <c r="H71" s="13">
        <f t="shared" si="32"/>
        <v>952.26198984771565</v>
      </c>
      <c r="I71" s="13">
        <f t="shared" si="33"/>
        <v>27.921544597534446</v>
      </c>
      <c r="J71" s="13">
        <f t="shared" si="34"/>
        <v>36.412440536620743</v>
      </c>
      <c r="K71" s="13">
        <f t="shared" si="25"/>
        <v>47.208070445404921</v>
      </c>
      <c r="L71" s="13">
        <f t="shared" si="26"/>
        <v>20.171593137850984</v>
      </c>
      <c r="M71" s="14">
        <f t="shared" si="35"/>
        <v>0.31576036866359442</v>
      </c>
      <c r="N71" s="14">
        <f t="shared" si="40"/>
        <v>0.27664058975481459</v>
      </c>
      <c r="O71" s="15">
        <f t="shared" si="36"/>
        <v>7.5778696404537674E-2</v>
      </c>
      <c r="P71" s="15">
        <f t="shared" si="37"/>
        <v>4.5453715533373885E-2</v>
      </c>
      <c r="Q71" s="14">
        <f t="shared" si="38"/>
        <v>0.15818692341869056</v>
      </c>
      <c r="R71" s="14">
        <f t="shared" si="39"/>
        <v>0.12623980803609158</v>
      </c>
      <c r="T71" s="13">
        <f t="shared" si="27"/>
        <v>15.757825894326064</v>
      </c>
      <c r="U71">
        <f t="shared" si="28"/>
        <v>0.6</v>
      </c>
      <c r="V71" s="19">
        <f t="shared" si="29"/>
        <v>0.4</v>
      </c>
      <c r="W71" s="20">
        <f t="shared" si="30"/>
        <v>0.21765622119815664</v>
      </c>
      <c r="X71" s="21">
        <f t="shared" si="31"/>
        <v>0.21765622119815664</v>
      </c>
    </row>
    <row r="72" spans="1:24" ht="17.25" customHeight="1">
      <c r="A72" s="22">
        <v>1992</v>
      </c>
      <c r="B72" s="16">
        <v>435.23</v>
      </c>
      <c r="C72" s="16">
        <v>12.38</v>
      </c>
      <c r="D72" s="16">
        <v>19.09</v>
      </c>
      <c r="E72" s="16">
        <v>141.9</v>
      </c>
      <c r="F72" s="18">
        <v>4.3799999999999999E-2</v>
      </c>
      <c r="G72" s="18">
        <v>6.1899999999999997E-2</v>
      </c>
      <c r="H72" s="13">
        <f t="shared" si="32"/>
        <v>968.01102290345318</v>
      </c>
      <c r="I72" s="13">
        <f t="shared" si="33"/>
        <v>27.534812544045106</v>
      </c>
      <c r="J72" s="13">
        <f t="shared" si="34"/>
        <v>42.458769908386188</v>
      </c>
      <c r="K72" s="13">
        <f t="shared" si="25"/>
        <v>47.366603993620593</v>
      </c>
      <c r="L72" s="13">
        <f t="shared" si="26"/>
        <v>20.436572210957458</v>
      </c>
      <c r="M72" s="14">
        <f t="shared" si="35"/>
        <v>7.5778696404537674E-2</v>
      </c>
      <c r="N72" s="14">
        <f t="shared" si="40"/>
        <v>4.5453715533373885E-2</v>
      </c>
      <c r="O72" s="15">
        <f t="shared" si="36"/>
        <v>0.11566298279070833</v>
      </c>
      <c r="P72" s="15">
        <f t="shared" si="37"/>
        <v>8.5820145802479486E-2</v>
      </c>
      <c r="Q72" s="14">
        <f t="shared" si="38"/>
        <v>0.19869167428334689</v>
      </c>
      <c r="R72" s="14">
        <f t="shared" si="39"/>
        <v>0.16836111496389083</v>
      </c>
      <c r="T72" s="13">
        <f t="shared" si="27"/>
        <v>20.171593137850984</v>
      </c>
      <c r="U72">
        <f t="shared" si="28"/>
        <v>0.6</v>
      </c>
      <c r="V72" s="19">
        <f t="shared" si="29"/>
        <v>0.4</v>
      </c>
      <c r="W72" s="20">
        <f t="shared" si="30"/>
        <v>6.2987217842722598E-2</v>
      </c>
      <c r="X72" s="21">
        <f t="shared" si="31"/>
        <v>6.2987217842722598E-2</v>
      </c>
    </row>
    <row r="73" spans="1:24" ht="17.25" customHeight="1">
      <c r="A73" s="22">
        <v>1993</v>
      </c>
      <c r="B73" s="16">
        <v>472.99</v>
      </c>
      <c r="C73" s="16">
        <v>12.58</v>
      </c>
      <c r="D73" s="16">
        <v>21.88</v>
      </c>
      <c r="E73" s="16">
        <v>145.80000000000001</v>
      </c>
      <c r="F73" s="18">
        <v>3.7100000000000001E-2</v>
      </c>
      <c r="G73" s="18">
        <v>6.08E-2</v>
      </c>
      <c r="H73" s="13">
        <f t="shared" si="32"/>
        <v>1023.8546567215363</v>
      </c>
      <c r="I73" s="13">
        <f t="shared" si="33"/>
        <v>27.231213305898489</v>
      </c>
      <c r="J73" s="13">
        <f t="shared" si="34"/>
        <v>47.362396433470508</v>
      </c>
      <c r="K73" s="13">
        <f t="shared" si="25"/>
        <v>47.731729964707029</v>
      </c>
      <c r="L73" s="13">
        <f t="shared" si="26"/>
        <v>21.450189579941419</v>
      </c>
      <c r="M73" s="14">
        <f t="shared" si="35"/>
        <v>0.11566298279070833</v>
      </c>
      <c r="N73" s="14">
        <f t="shared" si="40"/>
        <v>8.5820145802479486E-2</v>
      </c>
      <c r="O73" s="15">
        <f t="shared" si="36"/>
        <v>1.1501300238905665E-2</v>
      </c>
      <c r="P73" s="15">
        <f t="shared" si="37"/>
        <v>-1.4850437041867363E-2</v>
      </c>
      <c r="Q73" s="14">
        <f t="shared" si="38"/>
        <v>0.23839504982866178</v>
      </c>
      <c r="R73" s="14">
        <f t="shared" si="39"/>
        <v>0.20974802410196536</v>
      </c>
      <c r="T73" s="13">
        <f t="shared" si="27"/>
        <v>20.436572210957458</v>
      </c>
      <c r="U73">
        <f t="shared" si="28"/>
        <v>0.6</v>
      </c>
      <c r="V73" s="19">
        <f t="shared" si="29"/>
        <v>0.4</v>
      </c>
      <c r="W73" s="20">
        <f t="shared" si="30"/>
        <v>8.4237789674424995E-2</v>
      </c>
      <c r="X73" s="21">
        <f t="shared" si="31"/>
        <v>8.4237789674424995E-2</v>
      </c>
    </row>
    <row r="74" spans="1:24" ht="17.25" customHeight="1">
      <c r="A74" s="22">
        <v>1994</v>
      </c>
      <c r="B74" s="16">
        <v>465.25</v>
      </c>
      <c r="C74" s="16">
        <v>13.18</v>
      </c>
      <c r="D74" s="16">
        <v>30.6</v>
      </c>
      <c r="E74" s="16">
        <v>149.69999999999999</v>
      </c>
      <c r="F74" s="18">
        <v>3.61E-2</v>
      </c>
      <c r="G74" s="18">
        <v>5.1499999999999997E-2</v>
      </c>
      <c r="H74" s="13">
        <f t="shared" si="32"/>
        <v>980.86323480293925</v>
      </c>
      <c r="I74" s="13">
        <f t="shared" si="33"/>
        <v>27.786732798931201</v>
      </c>
      <c r="J74" s="13">
        <f t="shared" si="34"/>
        <v>64.512444889779573</v>
      </c>
      <c r="K74" s="13">
        <f t="shared" si="25"/>
        <v>49.195636182080044</v>
      </c>
      <c r="L74" s="13">
        <f t="shared" si="26"/>
        <v>19.938013021574211</v>
      </c>
      <c r="M74" s="14">
        <f t="shared" si="35"/>
        <v>1.1501300238905665E-2</v>
      </c>
      <c r="N74" s="14">
        <f t="shared" si="40"/>
        <v>-1.4850437041867363E-2</v>
      </c>
      <c r="O74" s="15">
        <f t="shared" si="36"/>
        <v>0.35026329930145073</v>
      </c>
      <c r="P74" s="15">
        <f t="shared" si="37"/>
        <v>0.31683658570310885</v>
      </c>
      <c r="Q74" s="14">
        <f t="shared" si="38"/>
        <v>0.27168439828702229</v>
      </c>
      <c r="R74" s="14">
        <f t="shared" si="39"/>
        <v>0.24224392059699973</v>
      </c>
      <c r="T74" s="13">
        <f t="shared" si="27"/>
        <v>21.450189579941419</v>
      </c>
      <c r="U74">
        <f t="shared" si="28"/>
        <v>0.6</v>
      </c>
      <c r="V74" s="19">
        <f t="shared" si="29"/>
        <v>0.4</v>
      </c>
      <c r="W74" s="20">
        <f t="shared" si="30"/>
        <v>2.13407801433434E-2</v>
      </c>
      <c r="X74" s="21">
        <f t="shared" si="31"/>
        <v>2.13407801433434E-2</v>
      </c>
    </row>
    <row r="75" spans="1:24" ht="17.25" customHeight="1">
      <c r="A75" s="22">
        <v>1995</v>
      </c>
      <c r="B75" s="16">
        <v>614.41999999999996</v>
      </c>
      <c r="C75" s="16">
        <v>13.79</v>
      </c>
      <c r="D75" s="16">
        <v>33.96</v>
      </c>
      <c r="E75" s="16">
        <v>153.5</v>
      </c>
      <c r="F75" s="18">
        <v>7.1400000000000005E-2</v>
      </c>
      <c r="G75" s="18">
        <v>7.7799999999999994E-2</v>
      </c>
      <c r="H75" s="13">
        <f t="shared" si="32"/>
        <v>1263.2835446254073</v>
      </c>
      <c r="I75" s="13">
        <f t="shared" si="33"/>
        <v>28.353048534201957</v>
      </c>
      <c r="J75" s="13">
        <f t="shared" si="34"/>
        <v>69.823751140065156</v>
      </c>
      <c r="K75" s="13">
        <f t="shared" si="25"/>
        <v>51.959357087486374</v>
      </c>
      <c r="L75" s="13">
        <f t="shared" si="26"/>
        <v>24.31291716135668</v>
      </c>
      <c r="M75" s="14">
        <f t="shared" si="35"/>
        <v>0.35026329930145073</v>
      </c>
      <c r="N75" s="14">
        <f t="shared" si="40"/>
        <v>0.31683658570310885</v>
      </c>
      <c r="O75" s="15">
        <f t="shared" si="36"/>
        <v>0.27131278278701881</v>
      </c>
      <c r="P75" s="15">
        <f t="shared" si="37"/>
        <v>0.23043198081845748</v>
      </c>
      <c r="Q75" s="14">
        <f t="shared" si="38"/>
        <v>0.18408570268289393</v>
      </c>
      <c r="R75" s="14">
        <f t="shared" si="39"/>
        <v>0.15476859289363532</v>
      </c>
      <c r="T75" s="13">
        <f t="shared" si="27"/>
        <v>19.938013021574211</v>
      </c>
      <c r="U75">
        <f t="shared" si="28"/>
        <v>0.6</v>
      </c>
      <c r="V75" s="19">
        <f t="shared" si="29"/>
        <v>0.4</v>
      </c>
      <c r="W75" s="20">
        <f t="shared" si="30"/>
        <v>0.23871797958087043</v>
      </c>
      <c r="X75" s="21">
        <f t="shared" si="31"/>
        <v>0.23871797958087043</v>
      </c>
    </row>
    <row r="76" spans="1:24" ht="17.25" customHeight="1">
      <c r="A76" s="22">
        <v>1996</v>
      </c>
      <c r="B76" s="16">
        <v>766.22</v>
      </c>
      <c r="C76" s="16">
        <v>14.9</v>
      </c>
      <c r="D76" s="16">
        <v>38.729999999999997</v>
      </c>
      <c r="E76" s="16">
        <v>158.6</v>
      </c>
      <c r="F76" s="18">
        <v>5.3100000000000001E-2</v>
      </c>
      <c r="G76" s="18">
        <v>5.5100000000000003E-2</v>
      </c>
      <c r="H76" s="13">
        <f t="shared" si="32"/>
        <v>1524.7343196721313</v>
      </c>
      <c r="I76" s="13">
        <f t="shared" si="33"/>
        <v>29.650154476670874</v>
      </c>
      <c r="J76" s="13">
        <f t="shared" si="34"/>
        <v>77.070502206809593</v>
      </c>
      <c r="K76" s="13">
        <f t="shared" ref="K76:K107" si="41">AVERAGE(J67:J76)</f>
        <v>55.530696538936567</v>
      </c>
      <c r="L76" s="13">
        <f t="shared" ref="L76:L107" si="42">H76/K76</f>
        <v>27.457503951945395</v>
      </c>
      <c r="M76" s="14">
        <f t="shared" si="35"/>
        <v>0.27131278278701881</v>
      </c>
      <c r="N76" s="14">
        <f t="shared" si="40"/>
        <v>0.23043198081845748</v>
      </c>
      <c r="O76" s="15">
        <f t="shared" si="36"/>
        <v>0.27751820625929885</v>
      </c>
      <c r="P76" s="15">
        <f t="shared" si="37"/>
        <v>0.25613383454882077</v>
      </c>
      <c r="Q76" s="14">
        <f t="shared" si="38"/>
        <v>9.7209151964670726E-2</v>
      </c>
      <c r="R76" s="14">
        <f t="shared" si="39"/>
        <v>7.374894010752775E-2</v>
      </c>
      <c r="T76" s="13">
        <f t="shared" si="27"/>
        <v>24.31291716135668</v>
      </c>
      <c r="U76">
        <f t="shared" si="28"/>
        <v>0.6</v>
      </c>
      <c r="V76" s="19">
        <f t="shared" si="29"/>
        <v>0.4</v>
      </c>
      <c r="W76" s="20">
        <f t="shared" si="30"/>
        <v>0.18402766967221129</v>
      </c>
      <c r="X76" s="21">
        <f t="shared" si="31"/>
        <v>0.18402766967221129</v>
      </c>
    </row>
    <row r="77" spans="1:24" ht="17.25" customHeight="1">
      <c r="A77" s="22">
        <v>1997</v>
      </c>
      <c r="B77" s="16">
        <v>963.36</v>
      </c>
      <c r="C77" s="16">
        <v>15.5</v>
      </c>
      <c r="D77" s="16">
        <v>39.72</v>
      </c>
      <c r="E77" s="16">
        <v>161.30000000000001</v>
      </c>
      <c r="F77" s="18">
        <v>5.4699999999999999E-2</v>
      </c>
      <c r="G77" s="18">
        <v>6.0699999999999997E-2</v>
      </c>
      <c r="H77" s="13">
        <f t="shared" si="32"/>
        <v>1884.9425468071915</v>
      </c>
      <c r="I77" s="13">
        <f t="shared" si="33"/>
        <v>30.327820830750156</v>
      </c>
      <c r="J77" s="13">
        <f t="shared" si="34"/>
        <v>77.717486670799744</v>
      </c>
      <c r="K77" s="13">
        <f t="shared" si="41"/>
        <v>58.516407511042544</v>
      </c>
      <c r="L77" s="13">
        <f t="shared" si="42"/>
        <v>32.212205550237968</v>
      </c>
      <c r="M77" s="14">
        <f t="shared" si="35"/>
        <v>0.27751820625929885</v>
      </c>
      <c r="N77" s="14">
        <f t="shared" si="40"/>
        <v>0.25613383454882077</v>
      </c>
      <c r="O77" s="15">
        <f t="shared" si="36"/>
        <v>0.31308129878757679</v>
      </c>
      <c r="P77" s="15">
        <f t="shared" si="37"/>
        <v>0.29225145512163603</v>
      </c>
      <c r="Q77" s="14">
        <f t="shared" si="38"/>
        <v>-8.9892016745374281E-4</v>
      </c>
      <c r="R77" s="14">
        <f t="shared" si="39"/>
        <v>-2.3553195563267848E-2</v>
      </c>
      <c r="T77" s="13">
        <f t="shared" ref="T77:T104" si="43">L76</f>
        <v>27.457503951945395</v>
      </c>
      <c r="U77">
        <f t="shared" ref="U77:U108" si="44">IF(T77&lt;15,0.8,IF(T77&gt;25,0.3,0.6))</f>
        <v>0.3</v>
      </c>
      <c r="V77" s="19">
        <f t="shared" ref="V77:V108" si="45">1-U77</f>
        <v>0.7</v>
      </c>
      <c r="W77" s="20">
        <f t="shared" ref="W77:W108" si="46">U77*M77+V77*F77</f>
        <v>0.12154546187778964</v>
      </c>
      <c r="X77" s="21">
        <f t="shared" ref="X77:X104" si="47">0.6*M77+0.4*F77</f>
        <v>0.18839092375557931</v>
      </c>
    </row>
    <row r="78" spans="1:24" ht="17.25" customHeight="1">
      <c r="A78" s="22">
        <v>1998</v>
      </c>
      <c r="B78" s="16">
        <v>1248.77</v>
      </c>
      <c r="C78" s="16">
        <v>16.2</v>
      </c>
      <c r="D78" s="16">
        <v>37.700000000000003</v>
      </c>
      <c r="E78" s="16">
        <v>163.9</v>
      </c>
      <c r="F78" s="18">
        <v>5.5300000000000002E-2</v>
      </c>
      <c r="G78" s="18">
        <v>5.7700000000000001E-2</v>
      </c>
      <c r="H78" s="13">
        <f t="shared" si="32"/>
        <v>2404.6251119585113</v>
      </c>
      <c r="I78" s="13">
        <f t="shared" si="33"/>
        <v>31.194636973764492</v>
      </c>
      <c r="J78" s="13">
        <f t="shared" si="34"/>
        <v>72.594926784624775</v>
      </c>
      <c r="K78" s="13">
        <f t="shared" si="41"/>
        <v>59.552850562949004</v>
      </c>
      <c r="L78" s="13">
        <f t="shared" si="42"/>
        <v>40.378001879469338</v>
      </c>
      <c r="M78" s="14">
        <f t="shared" si="35"/>
        <v>0.31308129878757679</v>
      </c>
      <c r="N78" s="14">
        <f t="shared" si="40"/>
        <v>0.29225145512163603</v>
      </c>
      <c r="O78" s="15">
        <f t="shared" si="36"/>
        <v>0.15496048111341554</v>
      </c>
      <c r="P78" s="15">
        <f t="shared" si="37"/>
        <v>0.12476543585554851</v>
      </c>
      <c r="Q78" s="14">
        <f t="shared" si="38"/>
        <v>-1.4565287901118551E-2</v>
      </c>
      <c r="R78" s="14">
        <f t="shared" si="39"/>
        <v>-3.7416129922412833E-2</v>
      </c>
      <c r="T78" s="13">
        <f t="shared" si="43"/>
        <v>32.212205550237968</v>
      </c>
      <c r="U78">
        <f t="shared" si="44"/>
        <v>0.3</v>
      </c>
      <c r="V78" s="19">
        <f t="shared" si="45"/>
        <v>0.7</v>
      </c>
      <c r="W78" s="20">
        <f t="shared" si="46"/>
        <v>0.13263438963627303</v>
      </c>
      <c r="X78" s="21">
        <f t="shared" si="47"/>
        <v>0.20996877927254606</v>
      </c>
    </row>
    <row r="79" spans="1:24" ht="17.25" customHeight="1">
      <c r="A79" s="22">
        <v>1999</v>
      </c>
      <c r="B79" s="16">
        <v>1425.59</v>
      </c>
      <c r="C79" s="16">
        <v>16.690000000000001</v>
      </c>
      <c r="D79" s="16">
        <v>48.17</v>
      </c>
      <c r="E79" s="16">
        <v>168.3</v>
      </c>
      <c r="F79" s="18">
        <v>4.5199999999999997E-2</v>
      </c>
      <c r="G79" s="18">
        <v>4.4499999999999998E-2</v>
      </c>
      <c r="H79" s="13">
        <f t="shared" si="32"/>
        <v>2673.3412474747474</v>
      </c>
      <c r="I79" s="13">
        <f t="shared" si="33"/>
        <v>31.297964646464649</v>
      </c>
      <c r="J79" s="13">
        <f t="shared" si="34"/>
        <v>90.330914141414155</v>
      </c>
      <c r="K79" s="13">
        <f t="shared" si="41"/>
        <v>62.862003555203025</v>
      </c>
      <c r="L79" s="13">
        <f t="shared" si="42"/>
        <v>42.527140343643687</v>
      </c>
      <c r="M79" s="14">
        <f t="shared" si="35"/>
        <v>0.15496048111341554</v>
      </c>
      <c r="N79" s="14">
        <f t="shared" si="40"/>
        <v>0.12476543585554851</v>
      </c>
      <c r="O79" s="15">
        <f t="shared" si="36"/>
        <v>-5.4987759453980364E-2</v>
      </c>
      <c r="P79" s="15">
        <f t="shared" si="37"/>
        <v>-8.5945056989108565E-2</v>
      </c>
      <c r="Q79" s="14">
        <f t="shared" si="38"/>
        <v>-1.9259698277901749E-2</v>
      </c>
      <c r="R79" s="14">
        <f t="shared" si="39"/>
        <v>-4.3063571080139362E-2</v>
      </c>
      <c r="T79" s="13">
        <f t="shared" si="43"/>
        <v>40.378001879469338</v>
      </c>
      <c r="U79">
        <f t="shared" si="44"/>
        <v>0.3</v>
      </c>
      <c r="V79" s="19">
        <f t="shared" si="45"/>
        <v>0.7</v>
      </c>
      <c r="W79" s="20">
        <f t="shared" si="46"/>
        <v>7.8128144334024652E-2</v>
      </c>
      <c r="X79" s="21">
        <f t="shared" si="47"/>
        <v>0.11105628866804931</v>
      </c>
    </row>
    <row r="80" spans="1:24" ht="17.25" customHeight="1">
      <c r="A80" s="22">
        <v>2000</v>
      </c>
      <c r="B80" s="16">
        <v>1330.93</v>
      </c>
      <c r="C80" s="16">
        <v>16.27</v>
      </c>
      <c r="D80" s="16">
        <v>50</v>
      </c>
      <c r="E80" s="16">
        <v>174</v>
      </c>
      <c r="F80" s="18">
        <v>5.8400000000000001E-2</v>
      </c>
      <c r="G80" s="18">
        <v>6.1899999999999997E-2</v>
      </c>
      <c r="H80" s="13">
        <f t="shared" si="32"/>
        <v>2414.0699002873566</v>
      </c>
      <c r="I80" s="13">
        <f t="shared" si="33"/>
        <v>29.510881321839079</v>
      </c>
      <c r="J80" s="13">
        <f t="shared" si="34"/>
        <v>90.691091954022994</v>
      </c>
      <c r="K80" s="13">
        <f t="shared" si="41"/>
        <v>66.897472466599339</v>
      </c>
      <c r="L80" s="13">
        <f t="shared" si="42"/>
        <v>36.086115233914953</v>
      </c>
      <c r="M80" s="14">
        <f t="shared" si="35"/>
        <v>-5.4987759453980364E-2</v>
      </c>
      <c r="N80" s="14">
        <f t="shared" si="40"/>
        <v>-8.5945056989108565E-2</v>
      </c>
      <c r="O80" s="15">
        <f t="shared" si="36"/>
        <v>-0.13147197824077902</v>
      </c>
      <c r="P80" s="15">
        <f t="shared" si="37"/>
        <v>-0.14474320437971439</v>
      </c>
      <c r="Q80" s="14">
        <f t="shared" si="38"/>
        <v>5.5880583831338093E-3</v>
      </c>
      <c r="R80" s="14">
        <f t="shared" si="39"/>
        <v>-1.8873653344566144E-2</v>
      </c>
      <c r="T80" s="13">
        <f t="shared" si="43"/>
        <v>42.527140343643687</v>
      </c>
      <c r="U80">
        <f t="shared" si="44"/>
        <v>0.3</v>
      </c>
      <c r="V80" s="19">
        <f t="shared" si="45"/>
        <v>0.7</v>
      </c>
      <c r="W80" s="20">
        <f t="shared" si="46"/>
        <v>2.4383672163805891E-2</v>
      </c>
      <c r="X80" s="21">
        <f t="shared" si="47"/>
        <v>-9.6326556723882149E-3</v>
      </c>
    </row>
    <row r="81" spans="1:24" ht="17.25" customHeight="1">
      <c r="A81" s="22">
        <v>2001</v>
      </c>
      <c r="B81" s="16">
        <v>1140.21</v>
      </c>
      <c r="C81" s="16">
        <v>15.74</v>
      </c>
      <c r="D81" s="16">
        <v>24.69</v>
      </c>
      <c r="E81" s="16">
        <v>176.7</v>
      </c>
      <c r="F81" s="18">
        <v>5.6000000000000001E-2</v>
      </c>
      <c r="G81" s="18">
        <v>5.1700000000000003E-2</v>
      </c>
      <c r="H81" s="13">
        <f t="shared" si="32"/>
        <v>2036.5363726655353</v>
      </c>
      <c r="I81" s="13">
        <f t="shared" si="33"/>
        <v>28.113314657611774</v>
      </c>
      <c r="J81" s="13">
        <f t="shared" si="34"/>
        <v>44.098966893039062</v>
      </c>
      <c r="K81" s="13">
        <f t="shared" si="41"/>
        <v>67.666125102241182</v>
      </c>
      <c r="L81" s="13">
        <f t="shared" si="42"/>
        <v>30.096837517862877</v>
      </c>
      <c r="M81" s="14">
        <f t="shared" si="35"/>
        <v>-0.13147197824077902</v>
      </c>
      <c r="N81" s="14">
        <f t="shared" si="40"/>
        <v>-0.14474320437971439</v>
      </c>
      <c r="O81" s="15">
        <f t="shared" si="36"/>
        <v>-0.20022627410740126</v>
      </c>
      <c r="P81" s="15">
        <f t="shared" si="37"/>
        <v>-0.21879481832381323</v>
      </c>
      <c r="Q81" s="14">
        <f t="shared" si="38"/>
        <v>6.2178555204398744E-2</v>
      </c>
      <c r="R81" s="14">
        <f t="shared" si="39"/>
        <v>3.4333537353518961E-2</v>
      </c>
      <c r="T81" s="13">
        <f t="shared" si="43"/>
        <v>36.086115233914953</v>
      </c>
      <c r="U81">
        <f t="shared" si="44"/>
        <v>0.3</v>
      </c>
      <c r="V81" s="19">
        <f t="shared" si="45"/>
        <v>0.7</v>
      </c>
      <c r="W81" s="20">
        <f t="shared" si="46"/>
        <v>-2.4159347223370875E-4</v>
      </c>
      <c r="X81" s="21">
        <f t="shared" si="47"/>
        <v>-5.6483186944467412E-2</v>
      </c>
    </row>
    <row r="82" spans="1:24" ht="17.25" customHeight="1">
      <c r="A82" s="22">
        <v>2002</v>
      </c>
      <c r="B82" s="16">
        <v>895.84</v>
      </c>
      <c r="C82" s="23">
        <v>16.07</v>
      </c>
      <c r="D82" s="16">
        <v>27.59</v>
      </c>
      <c r="E82" s="16">
        <v>180.9</v>
      </c>
      <c r="F82" s="18">
        <v>2.2200000000000001E-2</v>
      </c>
      <c r="G82" s="18">
        <v>4.3900000000000002E-2</v>
      </c>
      <c r="H82" s="13">
        <f t="shared" si="32"/>
        <v>1562.9164355997791</v>
      </c>
      <c r="I82" s="13">
        <f t="shared" si="33"/>
        <v>28.036331398562741</v>
      </c>
      <c r="J82" s="13">
        <f t="shared" si="34"/>
        <v>48.134560254284132</v>
      </c>
      <c r="K82" s="13">
        <f t="shared" si="41"/>
        <v>68.23370413683098</v>
      </c>
      <c r="L82" s="13">
        <f t="shared" si="42"/>
        <v>22.905343559622946</v>
      </c>
      <c r="M82" s="14">
        <f t="shared" si="35"/>
        <v>-0.20022627410740126</v>
      </c>
      <c r="N82" s="14">
        <f t="shared" si="40"/>
        <v>-0.21879481832381323</v>
      </c>
      <c r="O82" s="15">
        <f t="shared" si="36"/>
        <v>0.22569878549741029</v>
      </c>
      <c r="P82" s="15">
        <f t="shared" si="37"/>
        <v>0.20308687084363267</v>
      </c>
      <c r="Q82" s="14">
        <f t="shared" si="38"/>
        <v>0.12456732579145813</v>
      </c>
      <c r="R82" s="14">
        <f t="shared" si="39"/>
        <v>9.1476592963270154E-2</v>
      </c>
      <c r="T82" s="13">
        <f t="shared" si="43"/>
        <v>30.096837517862877</v>
      </c>
      <c r="U82">
        <f t="shared" si="44"/>
        <v>0.3</v>
      </c>
      <c r="V82" s="19">
        <f t="shared" si="45"/>
        <v>0.7</v>
      </c>
      <c r="W82" s="20">
        <f t="shared" si="46"/>
        <v>-4.452788223222038E-2</v>
      </c>
      <c r="X82" s="21">
        <f t="shared" si="47"/>
        <v>-0.11125576446444076</v>
      </c>
    </row>
    <row r="83" spans="1:24" ht="17.25" customHeight="1">
      <c r="A83" s="22">
        <v>2003</v>
      </c>
      <c r="B83" s="23">
        <v>1080.6400000000001</v>
      </c>
      <c r="C83" s="23">
        <v>17.39</v>
      </c>
      <c r="D83" s="16">
        <v>48.74</v>
      </c>
      <c r="E83" s="16">
        <v>184.3</v>
      </c>
      <c r="F83" s="18">
        <v>1.4500000000000001E-2</v>
      </c>
      <c r="G83" s="18">
        <v>3.0300000000000001E-2</v>
      </c>
      <c r="H83" s="13">
        <f t="shared" si="32"/>
        <v>1850.5446945198048</v>
      </c>
      <c r="I83" s="13">
        <f t="shared" si="33"/>
        <v>29.779549376017364</v>
      </c>
      <c r="J83" s="13">
        <f t="shared" si="34"/>
        <v>83.464935973955519</v>
      </c>
      <c r="K83" s="13">
        <f t="shared" si="41"/>
        <v>71.843958090879468</v>
      </c>
      <c r="L83" s="13">
        <f t="shared" si="42"/>
        <v>25.757833277767723</v>
      </c>
      <c r="M83" s="14">
        <f t="shared" si="35"/>
        <v>0.22569878549741029</v>
      </c>
      <c r="N83" s="14">
        <f t="shared" si="40"/>
        <v>0.20308687084363267</v>
      </c>
      <c r="O83" s="15">
        <f t="shared" si="36"/>
        <v>0.12771135623334312</v>
      </c>
      <c r="P83" s="15">
        <f t="shared" si="37"/>
        <v>9.2155559399921858E-2</v>
      </c>
      <c r="Q83" s="14">
        <f t="shared" si="38"/>
        <v>-2.1134546129060294E-2</v>
      </c>
      <c r="R83" s="14">
        <f t="shared" si="39"/>
        <v>-4.6567488661511613E-2</v>
      </c>
      <c r="T83" s="13">
        <f t="shared" si="43"/>
        <v>22.905343559622946</v>
      </c>
      <c r="U83">
        <f t="shared" si="44"/>
        <v>0.6</v>
      </c>
      <c r="V83" s="19">
        <f t="shared" si="45"/>
        <v>0.4</v>
      </c>
      <c r="W83" s="20">
        <f t="shared" si="46"/>
        <v>0.14121927129844616</v>
      </c>
      <c r="X83" s="21">
        <f t="shared" si="47"/>
        <v>0.14121927129844616</v>
      </c>
    </row>
    <row r="84" spans="1:24" ht="17.25" customHeight="1">
      <c r="A84" s="22">
        <v>2004</v>
      </c>
      <c r="B84" s="23">
        <v>1199.21</v>
      </c>
      <c r="C84" s="23">
        <v>19.440000000000001</v>
      </c>
      <c r="D84" s="16">
        <v>58.55</v>
      </c>
      <c r="E84" s="16">
        <v>190.3</v>
      </c>
      <c r="F84" s="18">
        <v>1.3100000000000001E-2</v>
      </c>
      <c r="G84" s="18">
        <v>3.27E-2</v>
      </c>
      <c r="H84" s="13">
        <f t="shared" si="32"/>
        <v>1988.8422073042564</v>
      </c>
      <c r="I84" s="13">
        <f t="shared" si="33"/>
        <v>32.24046873357856</v>
      </c>
      <c r="J84" s="13">
        <f t="shared" si="34"/>
        <v>97.102852075669986</v>
      </c>
      <c r="K84" s="13">
        <f t="shared" si="41"/>
        <v>75.102998809468517</v>
      </c>
      <c r="L84" s="13">
        <f t="shared" si="42"/>
        <v>26.481528551873424</v>
      </c>
      <c r="M84" s="14">
        <f t="shared" si="35"/>
        <v>0.12771135623334312</v>
      </c>
      <c r="N84" s="14">
        <f t="shared" si="40"/>
        <v>9.2155559399921858E-2</v>
      </c>
      <c r="O84" s="15">
        <f t="shared" si="36"/>
        <v>7.0946706581832955E-2</v>
      </c>
      <c r="P84" s="15">
        <f t="shared" si="37"/>
        <v>3.5574991171355812E-2</v>
      </c>
      <c r="Q84" s="14">
        <f t="shared" si="38"/>
        <v>5.6756347647330951E-3</v>
      </c>
      <c r="R84" s="14">
        <f t="shared" si="39"/>
        <v>-1.9437124890895774E-2</v>
      </c>
      <c r="T84" s="13">
        <f t="shared" si="43"/>
        <v>25.757833277767723</v>
      </c>
      <c r="U84">
        <f t="shared" si="44"/>
        <v>0.3</v>
      </c>
      <c r="V84" s="19">
        <f t="shared" si="45"/>
        <v>0.7</v>
      </c>
      <c r="W84" s="20">
        <f t="shared" si="46"/>
        <v>4.748340687000293E-2</v>
      </c>
      <c r="X84" s="21">
        <f t="shared" si="47"/>
        <v>8.1866813740005859E-2</v>
      </c>
    </row>
    <row r="85" spans="1:24" ht="17.25" customHeight="1">
      <c r="A85" s="22">
        <v>2005</v>
      </c>
      <c r="B85" s="16">
        <v>1262.07</v>
      </c>
      <c r="C85" s="16">
        <v>22.22</v>
      </c>
      <c r="D85" s="16">
        <v>69.930000000000007</v>
      </c>
      <c r="E85" s="16">
        <v>196.8</v>
      </c>
      <c r="F85" s="18">
        <v>2.6700000000000002E-2</v>
      </c>
      <c r="G85" s="18">
        <v>3.5999999999999997E-2</v>
      </c>
      <c r="H85" s="13">
        <f t="shared" si="32"/>
        <v>2023.9613940548779</v>
      </c>
      <c r="I85" s="13">
        <f t="shared" si="33"/>
        <v>35.633857215447158</v>
      </c>
      <c r="J85" s="13">
        <f t="shared" si="34"/>
        <v>112.14561814024391</v>
      </c>
      <c r="K85" s="13">
        <f t="shared" si="41"/>
        <v>79.335185509486365</v>
      </c>
      <c r="L85" s="13">
        <f t="shared" si="42"/>
        <v>25.511522801101489</v>
      </c>
      <c r="M85" s="14">
        <f t="shared" si="35"/>
        <v>7.0946706581832955E-2</v>
      </c>
      <c r="N85" s="14">
        <f t="shared" si="40"/>
        <v>3.5574991171355812E-2</v>
      </c>
      <c r="O85" s="15">
        <f t="shared" si="36"/>
        <v>0.14201272512618171</v>
      </c>
      <c r="P85" s="15">
        <f t="shared" si="37"/>
        <v>0.11371706791294628</v>
      </c>
      <c r="Q85" s="14">
        <f t="shared" si="38"/>
        <v>1.8069225625482188E-2</v>
      </c>
      <c r="R85" s="14">
        <f t="shared" si="39"/>
        <v>-3.6256465895780909E-3</v>
      </c>
      <c r="T85" s="13">
        <f t="shared" si="43"/>
        <v>26.481528551873424</v>
      </c>
      <c r="U85">
        <f t="shared" si="44"/>
        <v>0.3</v>
      </c>
      <c r="V85" s="19">
        <f t="shared" si="45"/>
        <v>0.7</v>
      </c>
      <c r="W85" s="20">
        <f t="shared" si="46"/>
        <v>3.9974011974549889E-2</v>
      </c>
      <c r="X85" s="21">
        <f t="shared" si="47"/>
        <v>5.3248023949099776E-2</v>
      </c>
    </row>
    <row r="86" spans="1:24" ht="17.25" customHeight="1">
      <c r="A86" s="22">
        <v>2006</v>
      </c>
      <c r="B86" s="16">
        <v>1416.42</v>
      </c>
      <c r="C86" s="16">
        <v>24.88</v>
      </c>
      <c r="D86" s="16">
        <v>81.510000000000005</v>
      </c>
      <c r="E86" s="16">
        <v>201.8</v>
      </c>
      <c r="F86" s="18">
        <v>4.3499999999999997E-2</v>
      </c>
      <c r="G86" s="18">
        <v>4.3900000000000002E-2</v>
      </c>
      <c r="H86" s="13">
        <f t="shared" si="32"/>
        <v>2215.2092869177404</v>
      </c>
      <c r="I86" s="13">
        <f t="shared" si="33"/>
        <v>38.911062438057485</v>
      </c>
      <c r="J86" s="13">
        <f t="shared" si="34"/>
        <v>127.47752006937563</v>
      </c>
      <c r="K86" s="13">
        <f t="shared" si="41"/>
        <v>84.37588729574297</v>
      </c>
      <c r="L86" s="13">
        <f t="shared" si="42"/>
        <v>26.254056199175576</v>
      </c>
      <c r="M86" s="14">
        <f t="shared" si="35"/>
        <v>0.14201272512618171</v>
      </c>
      <c r="N86" s="14">
        <f t="shared" si="40"/>
        <v>0.11371706791294628</v>
      </c>
      <c r="O86" s="15">
        <f t="shared" si="36"/>
        <v>6.3914658081642414E-2</v>
      </c>
      <c r="P86" s="15">
        <f t="shared" si="37"/>
        <v>2.2196090198230045E-2</v>
      </c>
      <c r="Q86" s="14">
        <f t="shared" si="38"/>
        <v>-4.1468034153402389E-3</v>
      </c>
      <c r="R86" s="14">
        <f t="shared" si="39"/>
        <v>-2.6168051005955983E-2</v>
      </c>
      <c r="T86" s="13">
        <f t="shared" si="43"/>
        <v>25.511522801101489</v>
      </c>
      <c r="U86">
        <f t="shared" si="44"/>
        <v>0.3</v>
      </c>
      <c r="V86" s="19">
        <f t="shared" si="45"/>
        <v>0.7</v>
      </c>
      <c r="W86" s="20">
        <f t="shared" si="46"/>
        <v>7.3053817537854504E-2</v>
      </c>
      <c r="X86" s="21">
        <f t="shared" si="47"/>
        <v>0.10260763507570902</v>
      </c>
    </row>
    <row r="87" spans="1:24" ht="17.25" customHeight="1">
      <c r="A87" s="22">
        <v>2007</v>
      </c>
      <c r="B87" s="16">
        <v>1479.22</v>
      </c>
      <c r="C87" s="16">
        <v>27.73</v>
      </c>
      <c r="D87" s="16">
        <v>66.180000000000007</v>
      </c>
      <c r="E87" s="16">
        <v>210.036</v>
      </c>
      <c r="F87" s="18">
        <v>4.9399999999999999E-2</v>
      </c>
      <c r="G87" s="18">
        <v>4.53E-2</v>
      </c>
      <c r="H87" s="13">
        <f t="shared" si="32"/>
        <v>2222.7105262907312</v>
      </c>
      <c r="I87" s="13">
        <f t="shared" si="33"/>
        <v>41.667745767392262</v>
      </c>
      <c r="J87" s="13">
        <f t="shared" si="34"/>
        <v>99.44361395189398</v>
      </c>
      <c r="K87" s="13">
        <f t="shared" si="41"/>
        <v>86.548500023852412</v>
      </c>
      <c r="L87" s="13">
        <f t="shared" si="42"/>
        <v>25.681675888988963</v>
      </c>
      <c r="M87" s="14">
        <f t="shared" si="35"/>
        <v>6.3914658081642414E-2</v>
      </c>
      <c r="N87" s="14">
        <f t="shared" si="40"/>
        <v>2.2196090198230045E-2</v>
      </c>
      <c r="O87" s="15">
        <f t="shared" si="36"/>
        <v>-0.38754884330931172</v>
      </c>
      <c r="P87" s="15">
        <f t="shared" si="37"/>
        <v>-0.38810819136040203</v>
      </c>
      <c r="Q87" s="14">
        <f t="shared" si="38"/>
        <v>1.48054170695473E-2</v>
      </c>
      <c r="R87" s="14">
        <f t="shared" si="39"/>
        <v>-3.1110787868061651E-3</v>
      </c>
      <c r="T87" s="13">
        <f t="shared" si="43"/>
        <v>26.254056199175576</v>
      </c>
      <c r="U87">
        <f t="shared" si="44"/>
        <v>0.3</v>
      </c>
      <c r="V87" s="19">
        <f t="shared" si="45"/>
        <v>0.7</v>
      </c>
      <c r="W87" s="20">
        <f t="shared" si="46"/>
        <v>5.3754397424492728E-2</v>
      </c>
      <c r="X87" s="21">
        <f t="shared" si="47"/>
        <v>5.810879484898545E-2</v>
      </c>
    </row>
    <row r="88" spans="1:24" ht="17.25" customHeight="1">
      <c r="A88" s="22">
        <v>2008</v>
      </c>
      <c r="B88" s="24">
        <v>877.56</v>
      </c>
      <c r="C88" s="16">
        <v>28.39</v>
      </c>
      <c r="D88" s="16">
        <v>26.16</v>
      </c>
      <c r="E88" s="16">
        <v>210.22800000000001</v>
      </c>
      <c r="F88" s="18">
        <v>3.2599999999999997E-2</v>
      </c>
      <c r="G88" s="18">
        <v>3.49E-2</v>
      </c>
      <c r="H88" s="13">
        <f t="shared" si="32"/>
        <v>1317.4378474798789</v>
      </c>
      <c r="I88" s="13">
        <f t="shared" si="33"/>
        <v>42.620516534429292</v>
      </c>
      <c r="J88" s="13">
        <f t="shared" si="34"/>
        <v>39.272726753810147</v>
      </c>
      <c r="K88" s="13">
        <f t="shared" si="41"/>
        <v>83.216280020770952</v>
      </c>
      <c r="L88" s="13">
        <f t="shared" si="42"/>
        <v>15.831491712331333</v>
      </c>
      <c r="M88" s="14">
        <f t="shared" si="35"/>
        <v>-0.38754884330931172</v>
      </c>
      <c r="N88" s="14">
        <f t="shared" si="40"/>
        <v>-0.38810819136040203</v>
      </c>
      <c r="O88" s="15">
        <f t="shared" si="36"/>
        <v>0.29084051232964148</v>
      </c>
      <c r="P88" s="15">
        <f t="shared" si="37"/>
        <v>0.25664309270260965</v>
      </c>
      <c r="Q88" s="14">
        <f t="shared" si="38"/>
        <v>0.17886773205883988</v>
      </c>
      <c r="R88" s="14">
        <f t="shared" si="39"/>
        <v>0.15481852861170498</v>
      </c>
      <c r="T88" s="13">
        <f t="shared" si="43"/>
        <v>25.681675888988963</v>
      </c>
      <c r="U88">
        <f t="shared" si="44"/>
        <v>0.3</v>
      </c>
      <c r="V88" s="19">
        <f t="shared" si="45"/>
        <v>0.7</v>
      </c>
      <c r="W88" s="20">
        <f t="shared" si="46"/>
        <v>-9.3444652992793517E-2</v>
      </c>
      <c r="X88" s="21">
        <f t="shared" si="47"/>
        <v>-0.21948930598558702</v>
      </c>
    </row>
    <row r="89" spans="1:24" ht="17.25" customHeight="1">
      <c r="A89" s="22">
        <v>2009</v>
      </c>
      <c r="B89" s="16">
        <v>1110.3800000000001</v>
      </c>
      <c r="C89" s="16">
        <v>22.41</v>
      </c>
      <c r="D89" s="16">
        <v>50.97</v>
      </c>
      <c r="E89" s="16">
        <v>215.94900000000001</v>
      </c>
      <c r="F89" s="18">
        <v>4.8999999999999998E-3</v>
      </c>
      <c r="G89" s="18">
        <v>1.52E-2</v>
      </c>
      <c r="H89" s="13">
        <f t="shared" si="32"/>
        <v>1622.7974192980751</v>
      </c>
      <c r="I89" s="13">
        <f t="shared" si="33"/>
        <v>32.751751802508927</v>
      </c>
      <c r="J89" s="13">
        <f t="shared" si="34"/>
        <v>74.491601489240509</v>
      </c>
      <c r="K89" s="13">
        <f t="shared" si="41"/>
        <v>81.632348755553579</v>
      </c>
      <c r="L89" s="13">
        <f t="shared" si="42"/>
        <v>19.879342491510432</v>
      </c>
      <c r="M89" s="14">
        <f t="shared" si="35"/>
        <v>0.29084051232964148</v>
      </c>
      <c r="N89" s="14">
        <f t="shared" si="40"/>
        <v>0.25664309270260965</v>
      </c>
      <c r="O89" s="15">
        <f t="shared" si="36"/>
        <v>0.13858318773753114</v>
      </c>
      <c r="P89" s="15">
        <f t="shared" si="37"/>
        <v>0.12180409988517221</v>
      </c>
      <c r="Q89" s="14">
        <f t="shared" si="38"/>
        <v>0.15357212439036139</v>
      </c>
      <c r="R89" s="14">
        <f t="shared" si="39"/>
        <v>0.13441232122591296</v>
      </c>
      <c r="T89" s="13">
        <f t="shared" si="43"/>
        <v>15.831491712331333</v>
      </c>
      <c r="U89">
        <f t="shared" si="44"/>
        <v>0.6</v>
      </c>
      <c r="V89" s="19">
        <f t="shared" si="45"/>
        <v>0.4</v>
      </c>
      <c r="W89" s="20">
        <f t="shared" si="46"/>
        <v>0.17646430739778488</v>
      </c>
      <c r="X89" s="21">
        <f t="shared" si="47"/>
        <v>0.17646430739778488</v>
      </c>
    </row>
    <row r="90" spans="1:24" ht="17.25" customHeight="1">
      <c r="A90" s="22">
        <v>2010</v>
      </c>
      <c r="B90" s="16">
        <v>1241.53</v>
      </c>
      <c r="C90" s="23">
        <v>22.73</v>
      </c>
      <c r="D90" s="16">
        <v>77.349999999999994</v>
      </c>
      <c r="E90" s="23">
        <v>219.179</v>
      </c>
      <c r="F90" s="18">
        <v>3.7000000000000002E-3</v>
      </c>
      <c r="G90" s="18">
        <v>2.3400000000000001E-2</v>
      </c>
      <c r="H90" s="13">
        <f t="shared" si="32"/>
        <v>1787.7309215298912</v>
      </c>
      <c r="I90" s="13">
        <f t="shared" si="33"/>
        <v>32.729876721766232</v>
      </c>
      <c r="J90" s="13">
        <f t="shared" si="34"/>
        <v>111.37949689523174</v>
      </c>
      <c r="K90" s="13">
        <f t="shared" si="41"/>
        <v>83.701189249674485</v>
      </c>
      <c r="L90" s="13">
        <f t="shared" si="42"/>
        <v>21.358488900285771</v>
      </c>
      <c r="M90" s="14">
        <f t="shared" si="35"/>
        <v>0.13858318773753114</v>
      </c>
      <c r="N90" s="14">
        <f t="shared" si="40"/>
        <v>0.12180409988517221</v>
      </c>
      <c r="O90" s="15">
        <f t="shared" si="36"/>
        <v>2.2730018606074733E-2</v>
      </c>
      <c r="P90" s="15">
        <f t="shared" si="37"/>
        <v>-6.6958118505580592E-3</v>
      </c>
      <c r="Q90" s="14">
        <f t="shared" si="38"/>
        <v>0.12870239452356413</v>
      </c>
      <c r="R90" s="14">
        <f t="shared" si="39"/>
        <v>0.11163912675635657</v>
      </c>
      <c r="T90" s="13">
        <f t="shared" si="43"/>
        <v>19.879342491510432</v>
      </c>
      <c r="U90">
        <f t="shared" si="44"/>
        <v>0.6</v>
      </c>
      <c r="V90" s="19">
        <f t="shared" si="45"/>
        <v>0.4</v>
      </c>
      <c r="W90" s="20">
        <f t="shared" si="46"/>
        <v>8.4629912642518679E-2</v>
      </c>
      <c r="X90" s="21">
        <f t="shared" si="47"/>
        <v>8.4629912642518679E-2</v>
      </c>
    </row>
    <row r="91" spans="1:24" ht="17.25" customHeight="1">
      <c r="A91" s="22">
        <v>2011</v>
      </c>
      <c r="B91" s="23">
        <v>1243.32</v>
      </c>
      <c r="C91" s="23">
        <v>26.43</v>
      </c>
      <c r="D91" s="23">
        <v>86.95</v>
      </c>
      <c r="E91" s="23">
        <v>225.672</v>
      </c>
      <c r="F91" s="18">
        <v>2.8999999999999998E-3</v>
      </c>
      <c r="G91" s="18">
        <v>1.9300000000000001E-2</v>
      </c>
      <c r="H91" s="13">
        <f t="shared" si="32"/>
        <v>1738.7979394873978</v>
      </c>
      <c r="I91" s="13">
        <f t="shared" si="33"/>
        <v>36.962672152504524</v>
      </c>
      <c r="J91" s="13">
        <f t="shared" si="34"/>
        <v>121.60061837534123</v>
      </c>
      <c r="K91" s="13">
        <f t="shared" si="41"/>
        <v>91.45135439790468</v>
      </c>
      <c r="L91" s="13">
        <f t="shared" si="42"/>
        <v>19.013364547034385</v>
      </c>
      <c r="M91" s="14">
        <f t="shared" si="35"/>
        <v>2.2730018606074733E-2</v>
      </c>
      <c r="N91" s="14">
        <f t="shared" si="40"/>
        <v>-6.6958118505580592E-3</v>
      </c>
      <c r="O91" s="15">
        <f t="shared" si="36"/>
        <v>0.16907956117491879</v>
      </c>
      <c r="P91" s="15">
        <f t="shared" si="37"/>
        <v>0.14907392707116376</v>
      </c>
      <c r="Q91" s="14">
        <f t="shared" si="38"/>
        <v>0.14857458584827898</v>
      </c>
      <c r="R91" s="14">
        <f t="shared" si="39"/>
        <v>0.13317183531008769</v>
      </c>
      <c r="T91" s="13">
        <f t="shared" si="43"/>
        <v>21.358488900285771</v>
      </c>
      <c r="U91">
        <f t="shared" si="44"/>
        <v>0.6</v>
      </c>
      <c r="V91" s="19">
        <f t="shared" si="45"/>
        <v>0.4</v>
      </c>
      <c r="W91" s="20">
        <f t="shared" si="46"/>
        <v>1.4798011163644839E-2</v>
      </c>
      <c r="X91" s="21">
        <f t="shared" si="47"/>
        <v>1.4798011163644839E-2</v>
      </c>
    </row>
    <row r="92" spans="1:24" ht="17.25" customHeight="1">
      <c r="A92" s="22">
        <v>2012</v>
      </c>
      <c r="B92" s="23">
        <v>1422.29</v>
      </c>
      <c r="C92" s="23">
        <v>31.25</v>
      </c>
      <c r="D92" s="23">
        <v>86.51</v>
      </c>
      <c r="E92" s="23">
        <v>229.601</v>
      </c>
      <c r="F92" s="18">
        <v>1.1999999999999999E-3</v>
      </c>
      <c r="G92" s="18">
        <v>8.8999999999999999E-3</v>
      </c>
      <c r="H92" s="13">
        <f t="shared" si="32"/>
        <v>1955.0517438948439</v>
      </c>
      <c r="I92" s="13">
        <f t="shared" si="33"/>
        <v>42.955632815188082</v>
      </c>
      <c r="J92" s="13">
        <f t="shared" si="34"/>
        <v>118.91493743494151</v>
      </c>
      <c r="K92" s="13">
        <f t="shared" si="41"/>
        <v>98.529392115970438</v>
      </c>
      <c r="L92" s="13">
        <f t="shared" si="42"/>
        <v>19.842320163649454</v>
      </c>
      <c r="M92" s="14">
        <f t="shared" si="35"/>
        <v>0.16907956117491879</v>
      </c>
      <c r="N92" s="14">
        <f t="shared" si="40"/>
        <v>0.14907392707116376</v>
      </c>
      <c r="O92" s="15">
        <f t="shared" si="36"/>
        <v>0.29563591110111159</v>
      </c>
      <c r="P92" s="15">
        <f t="shared" si="37"/>
        <v>0.27646675516619368</v>
      </c>
      <c r="Q92" s="14">
        <f t="shared" si="38"/>
        <v>0.15606613857698792</v>
      </c>
      <c r="R92" s="14">
        <f t="shared" si="39"/>
        <v>0.13973948631757693</v>
      </c>
      <c r="T92" s="13">
        <f t="shared" si="43"/>
        <v>19.013364547034385</v>
      </c>
      <c r="U92">
        <f t="shared" si="44"/>
        <v>0.6</v>
      </c>
      <c r="V92" s="19">
        <f t="shared" si="45"/>
        <v>0.4</v>
      </c>
      <c r="W92" s="20">
        <f t="shared" si="46"/>
        <v>0.10192773670495127</v>
      </c>
      <c r="X92" s="21">
        <f t="shared" si="47"/>
        <v>0.10192773670495127</v>
      </c>
    </row>
    <row r="93" spans="1:24" ht="17.25" customHeight="1">
      <c r="A93" s="22">
        <v>2013</v>
      </c>
      <c r="B93" s="16">
        <v>1807.78</v>
      </c>
      <c r="C93" s="16">
        <v>34.99</v>
      </c>
      <c r="D93" s="16">
        <v>100.2</v>
      </c>
      <c r="E93" s="16">
        <v>233.04900000000001</v>
      </c>
      <c r="F93" s="18">
        <v>1.6000000000000001E-3</v>
      </c>
      <c r="G93" s="18">
        <v>7.0000000000000001E-3</v>
      </c>
      <c r="H93" s="13">
        <f t="shared" si="32"/>
        <v>2448.1735896742744</v>
      </c>
      <c r="I93" s="13">
        <f t="shared" si="33"/>
        <v>47.384966037185315</v>
      </c>
      <c r="J93" s="13">
        <f t="shared" si="34"/>
        <v>135.69515852889307</v>
      </c>
      <c r="K93" s="13">
        <f t="shared" si="41"/>
        <v>103.7524143714642</v>
      </c>
      <c r="L93" s="13">
        <f t="shared" si="42"/>
        <v>23.59630476558446</v>
      </c>
      <c r="M93" s="14">
        <f t="shared" si="35"/>
        <v>0.29563591110111159</v>
      </c>
      <c r="N93" s="14">
        <f t="shared" si="40"/>
        <v>0.27646675516619368</v>
      </c>
      <c r="O93" s="15">
        <f t="shared" si="36"/>
        <v>0.15816636980163515</v>
      </c>
      <c r="P93" s="15">
        <f t="shared" si="37"/>
        <v>0.14947070130956375</v>
      </c>
      <c r="Q93" s="14">
        <f t="shared" si="38"/>
        <v>9.411645327581053E-2</v>
      </c>
      <c r="R93" s="14">
        <f t="shared" si="39"/>
        <v>7.7798713486453508E-2</v>
      </c>
      <c r="T93" s="13">
        <f t="shared" si="43"/>
        <v>19.842320163649454</v>
      </c>
      <c r="U93">
        <f t="shared" si="44"/>
        <v>0.6</v>
      </c>
      <c r="V93" s="19">
        <f t="shared" si="45"/>
        <v>0.4</v>
      </c>
      <c r="W93" s="20">
        <f t="shared" si="46"/>
        <v>0.17802154666066694</v>
      </c>
      <c r="X93" s="21">
        <f t="shared" si="47"/>
        <v>0.17802154666066694</v>
      </c>
    </row>
    <row r="94" spans="1:24" ht="17.25" customHeight="1">
      <c r="A94" s="22">
        <v>2014</v>
      </c>
      <c r="B94" s="16">
        <v>2054.27</v>
      </c>
      <c r="C94" s="23">
        <v>39.44</v>
      </c>
      <c r="D94" s="16">
        <v>102.31</v>
      </c>
      <c r="E94" s="23">
        <v>234.81200000000001</v>
      </c>
      <c r="F94" s="18">
        <v>1.2999999999999999E-3</v>
      </c>
      <c r="G94" s="18">
        <v>1.5800000000000002E-2</v>
      </c>
      <c r="H94" s="13">
        <f t="shared" si="32"/>
        <v>2761.0934847878302</v>
      </c>
      <c r="I94" s="13">
        <f t="shared" si="33"/>
        <v>53.010328262610088</v>
      </c>
      <c r="J94" s="13">
        <f t="shared" si="34"/>
        <v>137.51233987189752</v>
      </c>
      <c r="K94" s="13">
        <f t="shared" si="41"/>
        <v>107.79336315108692</v>
      </c>
      <c r="L94" s="13">
        <f t="shared" si="42"/>
        <v>25.614689105838416</v>
      </c>
      <c r="M94" s="14">
        <f t="shared" si="35"/>
        <v>0.15816636980163515</v>
      </c>
      <c r="N94" s="14">
        <f t="shared" si="40"/>
        <v>0.14947070130956375</v>
      </c>
      <c r="O94" s="15">
        <f t="shared" si="36"/>
        <v>2.1029368096696123E-2</v>
      </c>
      <c r="P94" s="15">
        <f t="shared" si="37"/>
        <v>1.3634702384616634E-2</v>
      </c>
      <c r="Q94" s="14">
        <f t="shared" si="38"/>
        <v>0.1127260930288887</v>
      </c>
      <c r="R94" s="14">
        <f t="shared" si="39"/>
        <v>9.2834741283425615E-2</v>
      </c>
      <c r="T94" s="13">
        <f t="shared" si="43"/>
        <v>23.59630476558446</v>
      </c>
      <c r="U94">
        <f t="shared" si="44"/>
        <v>0.6</v>
      </c>
      <c r="V94" s="19">
        <f t="shared" si="45"/>
        <v>0.4</v>
      </c>
      <c r="W94" s="20">
        <f t="shared" si="46"/>
        <v>9.5419821880981096E-2</v>
      </c>
      <c r="X94" s="21">
        <f t="shared" si="47"/>
        <v>9.5419821880981096E-2</v>
      </c>
    </row>
    <row r="95" spans="1:24" ht="17.25" customHeight="1">
      <c r="A95" s="22">
        <v>2015</v>
      </c>
      <c r="B95" s="23">
        <v>2054.08</v>
      </c>
      <c r="C95" s="23">
        <v>43.39</v>
      </c>
      <c r="D95" s="23">
        <v>86.53</v>
      </c>
      <c r="E95" s="23">
        <v>236.52500000000001</v>
      </c>
      <c r="F95" s="18">
        <v>2.0999999999999999E-3</v>
      </c>
      <c r="G95" s="18">
        <v>1.6400000000000001E-2</v>
      </c>
      <c r="H95" s="13">
        <f t="shared" si="32"/>
        <v>2740.8431176408417</v>
      </c>
      <c r="I95" s="13">
        <f t="shared" si="33"/>
        <v>57.897055068174616</v>
      </c>
      <c r="J95" s="13">
        <f t="shared" si="34"/>
        <v>115.46052489166051</v>
      </c>
      <c r="K95" s="13">
        <f t="shared" si="41"/>
        <v>108.1248538262286</v>
      </c>
      <c r="L95" s="13">
        <f t="shared" si="42"/>
        <v>25.348872351270419</v>
      </c>
      <c r="M95" s="14">
        <f t="shared" si="35"/>
        <v>2.1029368096696123E-2</v>
      </c>
      <c r="N95" s="14">
        <f t="shared" si="40"/>
        <v>1.3634702384616634E-2</v>
      </c>
      <c r="O95" s="15">
        <f t="shared" si="36"/>
        <v>0.11598866645895008</v>
      </c>
      <c r="P95" s="15">
        <f t="shared" si="37"/>
        <v>9.3306684011246088E-2</v>
      </c>
      <c r="Q95" s="14">
        <f t="shared" si="38"/>
        <v>0.14570648338431424</v>
      </c>
      <c r="R95" s="14">
        <f t="shared" si="39"/>
        <v>0.12381779616368993</v>
      </c>
      <c r="T95" s="13">
        <f t="shared" si="43"/>
        <v>25.614689105838416</v>
      </c>
      <c r="U95">
        <f t="shared" si="44"/>
        <v>0.3</v>
      </c>
      <c r="V95" s="19">
        <f t="shared" si="45"/>
        <v>0.7</v>
      </c>
      <c r="W95" s="20">
        <f t="shared" si="46"/>
        <v>7.7788104290088369E-3</v>
      </c>
      <c r="X95" s="21">
        <f t="shared" si="47"/>
        <v>1.3457620858017674E-2</v>
      </c>
    </row>
    <row r="96" spans="1:24" ht="17.25" customHeight="1">
      <c r="A96" s="22">
        <v>2016</v>
      </c>
      <c r="B96" s="23">
        <v>2246.63</v>
      </c>
      <c r="C96" s="23">
        <v>45.7</v>
      </c>
      <c r="D96" s="23">
        <v>94.55</v>
      </c>
      <c r="E96" s="23">
        <v>241.43199999999999</v>
      </c>
      <c r="F96" s="18">
        <v>6.4999999999999997E-3</v>
      </c>
      <c r="G96" s="18">
        <v>1.7000000000000001E-2</v>
      </c>
      <c r="H96" s="13">
        <f t="shared" si="32"/>
        <v>2936.8420969465528</v>
      </c>
      <c r="I96" s="13">
        <f t="shared" si="33"/>
        <v>59.740003396401484</v>
      </c>
      <c r="J96" s="13">
        <f t="shared" si="34"/>
        <v>123.59775319758774</v>
      </c>
      <c r="K96" s="13">
        <f t="shared" si="41"/>
        <v>107.73687713904978</v>
      </c>
      <c r="L96" s="13">
        <f t="shared" si="42"/>
        <v>27.259395064478618</v>
      </c>
      <c r="M96" s="14">
        <f t="shared" si="35"/>
        <v>0.11598866645895008</v>
      </c>
      <c r="N96" s="14">
        <f t="shared" si="40"/>
        <v>9.3306684011246088E-2</v>
      </c>
      <c r="O96" s="15">
        <f t="shared" si="36"/>
        <v>0.20770665396616267</v>
      </c>
      <c r="P96" s="15">
        <f t="shared" si="37"/>
        <v>0.18276124385600817</v>
      </c>
      <c r="Q96" s="14">
        <f t="shared" si="38"/>
        <v>0.17781844351772347</v>
      </c>
      <c r="R96" s="14">
        <f t="shared" si="39"/>
        <v>0.14440076675225577</v>
      </c>
      <c r="T96" s="13">
        <f t="shared" si="43"/>
        <v>25.348872351270419</v>
      </c>
      <c r="U96">
        <f t="shared" si="44"/>
        <v>0.3</v>
      </c>
      <c r="V96" s="19">
        <f t="shared" si="45"/>
        <v>0.7</v>
      </c>
      <c r="W96" s="20">
        <f t="shared" si="46"/>
        <v>3.9346599937685023E-2</v>
      </c>
      <c r="X96" s="21">
        <f t="shared" si="47"/>
        <v>7.2193199875370054E-2</v>
      </c>
    </row>
    <row r="97" spans="1:24" ht="17.25" customHeight="1">
      <c r="A97" s="22">
        <v>2017</v>
      </c>
      <c r="B97" s="16">
        <v>2664.34</v>
      </c>
      <c r="C97" s="23">
        <v>48.93</v>
      </c>
      <c r="D97" s="16">
        <v>109.88</v>
      </c>
      <c r="E97" s="16">
        <v>246.524</v>
      </c>
      <c r="F97" s="18">
        <v>8.6999999999999994E-3</v>
      </c>
      <c r="G97" s="18">
        <v>1.9599999999999999E-2</v>
      </c>
      <c r="H97" s="13">
        <f t="shared" si="32"/>
        <v>3410.9418381171818</v>
      </c>
      <c r="I97" s="13">
        <f t="shared" si="33"/>
        <v>62.641173476010458</v>
      </c>
      <c r="J97" s="13">
        <f t="shared" si="34"/>
        <v>140.67059353247552</v>
      </c>
      <c r="K97" s="13">
        <f t="shared" si="41"/>
        <v>111.85957509710795</v>
      </c>
      <c r="L97" s="13">
        <f t="shared" si="42"/>
        <v>30.493069861530067</v>
      </c>
      <c r="M97" s="14">
        <f t="shared" si="35"/>
        <v>0.20770665396616267</v>
      </c>
      <c r="N97" s="14">
        <f t="shared" si="40"/>
        <v>0.18276124385600817</v>
      </c>
      <c r="O97" s="15">
        <f t="shared" si="36"/>
        <v>-1.6244173040978329E-2</v>
      </c>
      <c r="P97" s="15">
        <f t="shared" si="37"/>
        <v>-3.4683256239244731E-2</v>
      </c>
      <c r="Q97" s="14">
        <f t="shared" si="38"/>
        <v>9.8235089583896595E-2</v>
      </c>
      <c r="R97" s="14">
        <f t="shared" si="39"/>
        <v>5.8218270458132881E-2</v>
      </c>
      <c r="T97" s="13">
        <f t="shared" si="43"/>
        <v>27.259395064478618</v>
      </c>
      <c r="U97">
        <f t="shared" si="44"/>
        <v>0.3</v>
      </c>
      <c r="V97" s="19">
        <f t="shared" si="45"/>
        <v>0.7</v>
      </c>
      <c r="W97" s="20">
        <f t="shared" si="46"/>
        <v>6.8401996189848796E-2</v>
      </c>
      <c r="X97" s="21">
        <f t="shared" si="47"/>
        <v>0.12810399237969761</v>
      </c>
    </row>
    <row r="98" spans="1:24" ht="17.25" customHeight="1">
      <c r="A98" s="22">
        <v>2018</v>
      </c>
      <c r="B98" s="16">
        <v>2567.31</v>
      </c>
      <c r="C98" s="23">
        <v>53.75</v>
      </c>
      <c r="D98" s="16">
        <v>132.38999999999999</v>
      </c>
      <c r="E98" s="16">
        <v>251.233</v>
      </c>
      <c r="F98" s="18">
        <v>1.7000000000000001E-2</v>
      </c>
      <c r="G98" s="18">
        <v>2.18E-2</v>
      </c>
      <c r="H98" s="13">
        <f t="shared" si="32"/>
        <v>3225.1172121098739</v>
      </c>
      <c r="I98" s="13">
        <f t="shared" si="33"/>
        <v>67.522056218729233</v>
      </c>
      <c r="J98" s="13">
        <f t="shared" si="34"/>
        <v>166.31153530786162</v>
      </c>
      <c r="K98" s="13">
        <f t="shared" si="41"/>
        <v>124.5634559525131</v>
      </c>
      <c r="L98" s="13">
        <f t="shared" si="42"/>
        <v>25.891359447664765</v>
      </c>
      <c r="M98" s="14">
        <f t="shared" si="35"/>
        <v>-1.6244173040978329E-2</v>
      </c>
      <c r="N98" s="14">
        <f t="shared" si="40"/>
        <v>-3.4683256239244731E-2</v>
      </c>
      <c r="O98" s="15">
        <f t="shared" si="36"/>
        <v>0.26006969310660571</v>
      </c>
      <c r="P98" s="15">
        <f t="shared" si="37"/>
        <v>0.23191875134547438</v>
      </c>
      <c r="Q98" s="14">
        <f t="shared" si="38"/>
        <v>0.14568761200143432</v>
      </c>
      <c r="R98" s="14">
        <f t="shared" si="39"/>
        <v>0.10084398160765939</v>
      </c>
      <c r="T98" s="13">
        <f t="shared" si="43"/>
        <v>30.493069861530067</v>
      </c>
      <c r="U98">
        <f t="shared" si="44"/>
        <v>0.3</v>
      </c>
      <c r="V98" s="19">
        <f t="shared" si="45"/>
        <v>0.7</v>
      </c>
      <c r="W98" s="20">
        <f t="shared" si="46"/>
        <v>7.026748087706502E-3</v>
      </c>
      <c r="X98" s="21">
        <f t="shared" si="47"/>
        <v>-2.9465038245869973E-3</v>
      </c>
    </row>
    <row r="99" spans="1:24" ht="17.25" customHeight="1">
      <c r="A99" s="22">
        <v>2019</v>
      </c>
      <c r="B99" s="16">
        <v>3176.7495238095198</v>
      </c>
      <c r="C99" s="23">
        <v>58.24</v>
      </c>
      <c r="D99" s="16">
        <v>139.47</v>
      </c>
      <c r="E99" s="16">
        <v>256.97399999999999</v>
      </c>
      <c r="F99" s="18">
        <v>2.6599999999999999E-2</v>
      </c>
      <c r="G99" s="18">
        <v>2.6800000000000001E-2</v>
      </c>
      <c r="H99" s="13">
        <f t="shared" ref="H99:H104" si="48">B99 / E99 * $E$104</f>
        <v>3901.5543730568215</v>
      </c>
      <c r="I99" s="13">
        <f t="shared" ref="I99:I104" si="49">C99 / E99 * $E$104</f>
        <v>71.527995828371758</v>
      </c>
      <c r="J99" s="13">
        <f t="shared" ref="J99:J104" si="50">D99 / E99 * $E$104</f>
        <v>171.29137325176868</v>
      </c>
      <c r="K99" s="13">
        <f t="shared" si="41"/>
        <v>134.2434331287659</v>
      </c>
      <c r="L99" s="13">
        <f t="shared" si="42"/>
        <v>29.063279164757819</v>
      </c>
      <c r="M99" s="14">
        <f t="shared" ref="M99:M104" si="51">(B99-B98+C99)/B98</f>
        <v>0.26006969310660571</v>
      </c>
      <c r="N99" s="14">
        <f t="shared" si="40"/>
        <v>0.23191875134547438</v>
      </c>
      <c r="O99" s="15">
        <f t="shared" si="36"/>
        <v>0.18158161920010349</v>
      </c>
      <c r="P99" s="15">
        <f t="shared" si="37"/>
        <v>0.16570465770989562</v>
      </c>
      <c r="Q99" s="14">
        <f t="shared" ref="Q99:Q130" si="52">((1+M100)*(1+M101)*(1+M102)*(1+M103)*(1+M104))^(1/5)-1</f>
        <v>0.15267565497250923</v>
      </c>
      <c r="R99" s="14">
        <f t="shared" ref="R99:R130" si="53">((1+N100)*(1+N101)*(1+N102)*(1+N103)*(1+N104))^(1/5)-1</f>
        <v>0.10625738448032673</v>
      </c>
      <c r="T99" s="13">
        <f t="shared" si="43"/>
        <v>25.891359447664765</v>
      </c>
      <c r="U99">
        <f t="shared" si="44"/>
        <v>0.3</v>
      </c>
      <c r="V99" s="19">
        <f t="shared" si="45"/>
        <v>0.7</v>
      </c>
      <c r="W99" s="20">
        <f t="shared" si="46"/>
        <v>9.6640907931981712E-2</v>
      </c>
      <c r="X99" s="21">
        <f t="shared" si="47"/>
        <v>0.16668181586396344</v>
      </c>
    </row>
    <row r="100" spans="1:24" ht="17.25" customHeight="1">
      <c r="A100" s="22">
        <v>2020</v>
      </c>
      <c r="B100" s="23">
        <v>3695.31</v>
      </c>
      <c r="C100" s="23">
        <v>58.278846136010202</v>
      </c>
      <c r="D100" s="23">
        <v>94.13</v>
      </c>
      <c r="E100" s="23">
        <v>260.47399999999999</v>
      </c>
      <c r="F100" s="18">
        <v>1.55E-2</v>
      </c>
      <c r="G100" s="18">
        <v>1.6799999999999999E-2</v>
      </c>
      <c r="H100" s="13">
        <f t="shared" si="48"/>
        <v>4477.4461656441717</v>
      </c>
      <c r="I100" s="13">
        <f t="shared" si="49"/>
        <v>70.613939336576777</v>
      </c>
      <c r="J100" s="13">
        <f t="shared" si="50"/>
        <v>114.05322085889571</v>
      </c>
      <c r="K100" s="13">
        <f t="shared" si="41"/>
        <v>134.5108055251323</v>
      </c>
      <c r="L100" s="13">
        <f t="shared" si="42"/>
        <v>33.286888351936867</v>
      </c>
      <c r="M100" s="14">
        <f t="shared" si="51"/>
        <v>0.18158161920010349</v>
      </c>
      <c r="N100" s="14">
        <f t="shared" si="40"/>
        <v>0.16570465770989562</v>
      </c>
      <c r="O100" s="15">
        <f t="shared" si="36"/>
        <v>0.28139989461104004</v>
      </c>
      <c r="P100" s="15">
        <f t="shared" si="37"/>
        <v>0.19716270381459264</v>
      </c>
      <c r="Q100" s="14"/>
      <c r="R100" s="14"/>
      <c r="T100" s="13">
        <f t="shared" si="43"/>
        <v>29.063279164757819</v>
      </c>
      <c r="U100">
        <f t="shared" si="44"/>
        <v>0.3</v>
      </c>
      <c r="V100" s="19">
        <f t="shared" si="45"/>
        <v>0.7</v>
      </c>
      <c r="W100" s="20">
        <f t="shared" si="46"/>
        <v>6.5324485760031054E-2</v>
      </c>
      <c r="X100" s="21">
        <f t="shared" si="47"/>
        <v>0.11514897152006209</v>
      </c>
    </row>
    <row r="101" spans="1:24" ht="17.25" customHeight="1">
      <c r="A101" s="22">
        <v>2021</v>
      </c>
      <c r="B101" s="23">
        <v>4674.7727272727298</v>
      </c>
      <c r="C101" s="16">
        <v>60.3971172823926</v>
      </c>
      <c r="D101" s="23">
        <v>197.87</v>
      </c>
      <c r="E101" s="16">
        <v>278.80200000000002</v>
      </c>
      <c r="F101" s="18">
        <v>1E-3</v>
      </c>
      <c r="G101" s="18">
        <v>3.5999999999999999E-3</v>
      </c>
      <c r="H101" s="13">
        <f t="shared" si="48"/>
        <v>5291.8617749905306</v>
      </c>
      <c r="I101" s="13">
        <f t="shared" si="49"/>
        <v>68.36978285632641</v>
      </c>
      <c r="J101" s="13">
        <f t="shared" si="50"/>
        <v>223.98964623639716</v>
      </c>
      <c r="K101" s="13">
        <f t="shared" si="41"/>
        <v>144.7497083112379</v>
      </c>
      <c r="L101" s="13">
        <f t="shared" si="42"/>
        <v>36.558704240094748</v>
      </c>
      <c r="M101" s="14">
        <f t="shared" si="51"/>
        <v>0.28139989461104004</v>
      </c>
      <c r="N101" s="14">
        <f t="shared" si="40"/>
        <v>0.19716270381459264</v>
      </c>
      <c r="O101" s="15">
        <f t="shared" si="36"/>
        <v>-0.1487712484575735</v>
      </c>
      <c r="P101" s="15">
        <f t="shared" si="37"/>
        <v>-0.20038181522208257</v>
      </c>
      <c r="R101" s="14"/>
      <c r="T101" s="13">
        <f t="shared" si="43"/>
        <v>33.286888351936867</v>
      </c>
      <c r="U101">
        <f t="shared" si="44"/>
        <v>0.3</v>
      </c>
      <c r="V101" s="19">
        <f t="shared" si="45"/>
        <v>0.7</v>
      </c>
      <c r="W101" s="20">
        <f t="shared" si="46"/>
        <v>8.5119968383312011E-2</v>
      </c>
      <c r="X101" s="21">
        <f t="shared" si="47"/>
        <v>0.16923993676662402</v>
      </c>
    </row>
    <row r="102" spans="1:24" ht="17.25" customHeight="1">
      <c r="A102" s="22">
        <v>2022</v>
      </c>
      <c r="B102" s="23">
        <v>3912.38095238095</v>
      </c>
      <c r="C102" s="23">
        <v>66.92</v>
      </c>
      <c r="D102" s="23">
        <v>172.75</v>
      </c>
      <c r="E102" s="23">
        <v>296.79700000000003</v>
      </c>
      <c r="F102" s="18">
        <v>4.0000000000000001E-3</v>
      </c>
      <c r="G102" s="18">
        <v>1.2699999999999999E-2</v>
      </c>
      <c r="H102" s="13">
        <f t="shared" si="48"/>
        <v>4160.3081920510976</v>
      </c>
      <c r="I102" s="13">
        <f t="shared" si="49"/>
        <v>71.160714562478731</v>
      </c>
      <c r="J102" s="13">
        <f t="shared" si="50"/>
        <v>183.69715243078599</v>
      </c>
      <c r="K102" s="13">
        <f t="shared" si="41"/>
        <v>151.22792981082236</v>
      </c>
      <c r="L102" s="13">
        <f t="shared" si="42"/>
        <v>27.510184112520811</v>
      </c>
      <c r="M102" s="14">
        <f t="shared" si="51"/>
        <v>-0.1487712484575735</v>
      </c>
      <c r="N102" s="14">
        <f t="shared" si="40"/>
        <v>-0.20038181522208257</v>
      </c>
      <c r="O102" s="15">
        <f t="shared" si="36"/>
        <v>0.21546323065747985</v>
      </c>
      <c r="P102" s="15">
        <f t="shared" si="37"/>
        <v>0.17604089529919906</v>
      </c>
      <c r="R102" s="14"/>
      <c r="T102" s="13">
        <f t="shared" si="43"/>
        <v>36.558704240094748</v>
      </c>
      <c r="U102">
        <f t="shared" si="44"/>
        <v>0.3</v>
      </c>
      <c r="V102" s="19">
        <f t="shared" si="45"/>
        <v>0.7</v>
      </c>
      <c r="W102" s="20">
        <f t="shared" si="46"/>
        <v>-4.1831374537272051E-2</v>
      </c>
      <c r="X102" s="21">
        <f t="shared" si="47"/>
        <v>-8.7662749074544091E-2</v>
      </c>
    </row>
    <row r="103" spans="1:24" ht="17.25" customHeight="1">
      <c r="A103" s="22">
        <v>2023</v>
      </c>
      <c r="B103" s="23">
        <v>4685.0514999999996</v>
      </c>
      <c r="C103" s="16">
        <v>70.303691943737803</v>
      </c>
      <c r="D103" s="23">
        <v>192.43</v>
      </c>
      <c r="E103" s="16">
        <v>306.74599999999998</v>
      </c>
      <c r="F103" s="18">
        <v>4.7100000000000003E-2</v>
      </c>
      <c r="G103" s="18">
        <v>3.9899999999999998E-2</v>
      </c>
      <c r="H103" s="13">
        <f t="shared" si="48"/>
        <v>4820.3584681055336</v>
      </c>
      <c r="I103" s="13">
        <f t="shared" si="49"/>
        <v>72.334102794831466</v>
      </c>
      <c r="J103" s="13">
        <f t="shared" si="50"/>
        <v>197.98748850840764</v>
      </c>
      <c r="K103" s="13">
        <f t="shared" si="41"/>
        <v>157.45716280877383</v>
      </c>
      <c r="L103" s="13">
        <f t="shared" si="42"/>
        <v>30.613776992537893</v>
      </c>
      <c r="M103" s="14">
        <f t="shared" si="51"/>
        <v>0.21546323065747985</v>
      </c>
      <c r="N103" s="14">
        <f t="shared" si="40"/>
        <v>0.17604089529919906</v>
      </c>
      <c r="O103" s="15">
        <f t="shared" si="36"/>
        <v>0.29896988880876368</v>
      </c>
      <c r="P103" s="15">
        <f t="shared" si="37"/>
        <v>0.26250793717632159</v>
      </c>
      <c r="R103" s="14"/>
      <c r="T103" s="13">
        <f t="shared" si="43"/>
        <v>27.510184112520811</v>
      </c>
      <c r="U103">
        <f t="shared" si="44"/>
        <v>0.3</v>
      </c>
      <c r="V103" s="19">
        <f t="shared" si="45"/>
        <v>0.7</v>
      </c>
      <c r="W103" s="20">
        <f t="shared" si="46"/>
        <v>9.7608969197243947E-2</v>
      </c>
      <c r="X103" s="21">
        <f t="shared" si="47"/>
        <v>0.14811793839448789</v>
      </c>
    </row>
    <row r="104" spans="1:24" ht="17.25" customHeight="1">
      <c r="A104" s="22">
        <v>2024</v>
      </c>
      <c r="B104" s="23">
        <v>6010.9085714285702</v>
      </c>
      <c r="C104" s="23">
        <v>74.832254589760694</v>
      </c>
      <c r="D104" s="23">
        <v>210.17</v>
      </c>
      <c r="E104" s="23">
        <v>315.60500000000002</v>
      </c>
      <c r="F104" s="18">
        <v>4.7899999999999998E-2</v>
      </c>
      <c r="G104" s="18">
        <v>3.9E-2</v>
      </c>
      <c r="H104" s="13">
        <f t="shared" si="48"/>
        <v>6010.9085714285702</v>
      </c>
      <c r="I104" s="13">
        <f t="shared" si="49"/>
        <v>74.832254589760694</v>
      </c>
      <c r="J104" s="13">
        <f t="shared" si="50"/>
        <v>210.17</v>
      </c>
      <c r="K104" s="13">
        <f t="shared" si="41"/>
        <v>164.72292882158408</v>
      </c>
      <c r="L104" s="13">
        <f t="shared" si="42"/>
        <v>36.491025350448631</v>
      </c>
      <c r="M104" s="14">
        <f t="shared" si="51"/>
        <v>0.29896988880876368</v>
      </c>
      <c r="N104" s="14">
        <f t="shared" si="40"/>
        <v>0.26250793717632159</v>
      </c>
      <c r="O104" s="15"/>
      <c r="P104" s="15"/>
      <c r="R104" s="14"/>
      <c r="T104" s="13">
        <f t="shared" si="43"/>
        <v>30.613776992537893</v>
      </c>
      <c r="U104">
        <f t="shared" si="44"/>
        <v>0.3</v>
      </c>
      <c r="V104" s="19">
        <f t="shared" si="45"/>
        <v>0.7</v>
      </c>
      <c r="W104" s="20">
        <f t="shared" si="46"/>
        <v>0.1232209666426291</v>
      </c>
      <c r="X104" s="21">
        <f t="shared" si="47"/>
        <v>0.19854193328525821</v>
      </c>
    </row>
    <row r="105" spans="1:24" ht="17.25" customHeight="1">
      <c r="A105" s="25" t="s">
        <v>23</v>
      </c>
      <c r="L105" s="26">
        <f>AVERAGE(L12:L104)</f>
        <v>18.962843180468667</v>
      </c>
      <c r="M105" s="27">
        <f>AVERAGE(M3:M104)</f>
        <v>0.12151589163078916</v>
      </c>
      <c r="N105" s="27">
        <f>AVERAGE(N4:N104)</f>
        <v>9.104791725205387E-2</v>
      </c>
      <c r="T105" s="13">
        <f>AVERAGE(T13:T104)</f>
        <v>18.772319461229753</v>
      </c>
      <c r="U105" s="13">
        <f>AVERAGE(U13:U104)</f>
        <v>0.60108695652173882</v>
      </c>
      <c r="V105" s="13">
        <f>AVERAGE(V13:V104)</f>
        <v>0.39891304347826073</v>
      </c>
      <c r="W105" s="28">
        <f>AVERAGE(W13:W104)</f>
        <v>9.7397240789504999E-2</v>
      </c>
      <c r="X105" s="28">
        <f>AVERAGE(X13:X104)</f>
        <v>9.1293138702856755E-2</v>
      </c>
    </row>
    <row r="108" spans="1:24" ht="13.5" customHeight="1">
      <c r="T108" s="3" t="s">
        <v>24</v>
      </c>
      <c r="U108" s="3"/>
      <c r="V108" s="3"/>
      <c r="W108" s="3"/>
      <c r="X108" s="3"/>
    </row>
    <row r="109" spans="1:24" ht="19.5" customHeight="1">
      <c r="T109" s="3"/>
      <c r="U109" s="3"/>
      <c r="V109" s="3"/>
      <c r="W109" s="3"/>
      <c r="X109" s="3"/>
    </row>
    <row r="110" spans="1:24" ht="19.5" customHeight="1">
      <c r="T110" s="3"/>
      <c r="U110" s="3"/>
      <c r="V110" s="3"/>
      <c r="W110" s="3"/>
      <c r="X110" s="3"/>
    </row>
    <row r="111" spans="1:24" ht="19.5" customHeight="1">
      <c r="T111" s="3"/>
      <c r="U111" s="3"/>
      <c r="V111" s="3"/>
      <c r="W111" s="3"/>
      <c r="X111" s="3"/>
    </row>
    <row r="112" spans="1:24" ht="19.5" customHeight="1">
      <c r="T112" s="3"/>
      <c r="U112" s="3"/>
      <c r="V112" s="3"/>
      <c r="W112" s="3"/>
      <c r="X112" s="3"/>
    </row>
    <row r="113" spans="20:24" ht="19.5" customHeight="1">
      <c r="T113" s="3"/>
      <c r="U113" s="3"/>
      <c r="V113" s="3"/>
      <c r="W113" s="3"/>
      <c r="X113" s="3"/>
    </row>
    <row r="114" spans="20:24" ht="19.5" customHeight="1">
      <c r="T114" s="3"/>
      <c r="U114" s="3"/>
      <c r="V114" s="3"/>
      <c r="W114" s="3"/>
      <c r="X114" s="3"/>
    </row>
    <row r="115" spans="20:24" ht="19.5" customHeight="1">
      <c r="T115" s="29"/>
      <c r="U115" s="29"/>
      <c r="V115" s="29"/>
      <c r="W115" s="29"/>
      <c r="X115" s="29"/>
    </row>
    <row r="116" spans="20:24" ht="19.5" customHeight="1">
      <c r="T116" s="29"/>
      <c r="U116" s="29"/>
      <c r="V116" s="29"/>
      <c r="W116" s="29"/>
      <c r="X116" s="29"/>
    </row>
    <row r="117" spans="20:24" ht="19.5" customHeight="1">
      <c r="T117" s="29"/>
      <c r="U117" s="29"/>
      <c r="V117" s="29"/>
      <c r="W117" s="29"/>
      <c r="X117" s="29"/>
    </row>
    <row r="118" spans="20:24" ht="19.5" customHeight="1">
      <c r="T118" s="30"/>
      <c r="U118" s="30"/>
      <c r="V118" s="30"/>
      <c r="W118" s="30"/>
      <c r="X118" s="30"/>
    </row>
    <row r="119" spans="20:24">
      <c r="T119" s="29"/>
      <c r="U119" s="29"/>
      <c r="V119" s="29"/>
      <c r="W119" s="29"/>
      <c r="X119" s="29"/>
    </row>
    <row r="120" spans="20:24">
      <c r="T120" s="29"/>
      <c r="U120" s="29"/>
      <c r="V120" s="29"/>
      <c r="W120" s="29"/>
      <c r="X120" s="29"/>
    </row>
    <row r="121" spans="20:24">
      <c r="T121" s="29"/>
      <c r="U121" s="29"/>
      <c r="V121" s="29"/>
      <c r="W121" s="29"/>
      <c r="X121" s="29"/>
    </row>
    <row r="122" spans="20:24">
      <c r="T122" s="29"/>
      <c r="U122" s="29"/>
      <c r="V122" s="29"/>
      <c r="W122" s="29"/>
      <c r="X122" s="29"/>
    </row>
    <row r="123" spans="20:24">
      <c r="T123" s="29"/>
      <c r="U123" s="29"/>
      <c r="V123" s="29"/>
      <c r="W123" s="29"/>
      <c r="X123" s="29"/>
    </row>
    <row r="124" spans="20:24">
      <c r="T124" s="29"/>
      <c r="U124" s="29"/>
      <c r="V124" s="29"/>
      <c r="W124" s="29"/>
      <c r="X124" s="29"/>
    </row>
    <row r="125" spans="20:24">
      <c r="T125" s="29"/>
      <c r="U125" s="29"/>
      <c r="V125" s="29"/>
      <c r="W125" s="29"/>
      <c r="X125" s="29"/>
    </row>
    <row r="126" spans="20:24">
      <c r="T126" s="29"/>
      <c r="U126" s="29"/>
      <c r="V126" s="29"/>
      <c r="W126" s="29"/>
      <c r="X126" s="29"/>
    </row>
    <row r="127" spans="20:24">
      <c r="T127" s="29"/>
      <c r="U127" s="29"/>
      <c r="V127" s="29"/>
      <c r="W127" s="29"/>
      <c r="X127" s="29"/>
    </row>
    <row r="128" spans="20:24">
      <c r="T128" s="29"/>
      <c r="U128" s="29"/>
      <c r="V128" s="29"/>
      <c r="W128" s="29"/>
      <c r="X128" s="29"/>
    </row>
    <row r="129" spans="20:24">
      <c r="T129" s="29"/>
      <c r="U129" s="29"/>
      <c r="V129" s="29"/>
      <c r="W129" s="29"/>
      <c r="X129" s="29"/>
    </row>
    <row r="130" spans="20:24">
      <c r="T130" s="29"/>
      <c r="U130" s="29"/>
      <c r="V130" s="29"/>
      <c r="W130" s="29"/>
      <c r="X130" s="29"/>
    </row>
  </sheetData>
  <mergeCells count="1">
    <mergeCell ref="T108:X114"/>
  </mergeCells>
  <phoneticPr fontId="15" type="noConversion"/>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4"/>
  <sheetViews>
    <sheetView topLeftCell="A24" zoomScale="90" zoomScaleNormal="90" workbookViewId="0">
      <selection activeCell="H55" sqref="H55"/>
    </sheetView>
  </sheetViews>
  <sheetFormatPr defaultColWidth="11" defaultRowHeight="15"/>
  <cols>
    <col min="1" max="1" width="16.375" customWidth="1"/>
    <col min="2" max="2" width="14.125" customWidth="1"/>
    <col min="3" max="3" width="13.375" customWidth="1"/>
    <col min="4" max="4" width="14.125" customWidth="1"/>
    <col min="5" max="7" width="13.375" customWidth="1"/>
    <col min="8" max="8" width="12.875" customWidth="1"/>
    <col min="9" max="9" width="13.375" customWidth="1"/>
    <col min="11" max="11" width="21.625" customWidth="1"/>
    <col min="12" max="12" width="15.875" customWidth="1"/>
    <col min="13" max="13" width="17.875" customWidth="1"/>
    <col min="14" max="14" width="15.875" customWidth="1"/>
    <col min="15" max="15" width="14.875" customWidth="1"/>
    <col min="16" max="16" width="16.375" customWidth="1"/>
    <col min="17" max="17" width="15.875" customWidth="1"/>
    <col min="18" max="18" width="16" customWidth="1"/>
  </cols>
  <sheetData>
    <row r="1" spans="1:16">
      <c r="A1" t="s">
        <v>25</v>
      </c>
      <c r="K1" t="s">
        <v>26</v>
      </c>
    </row>
    <row r="2" spans="1:16" ht="15" customHeight="1">
      <c r="A2" s="31" t="s">
        <v>27</v>
      </c>
      <c r="K2" s="31" t="s">
        <v>27</v>
      </c>
    </row>
    <row r="3" spans="1:16" ht="15" customHeight="1"/>
    <row r="4" spans="1:16" ht="15" customHeight="1">
      <c r="A4" s="2" t="s">
        <v>28</v>
      </c>
      <c r="B4" s="2"/>
      <c r="K4" s="2" t="s">
        <v>28</v>
      </c>
      <c r="L4" s="2"/>
    </row>
    <row r="5" spans="1:16" ht="15" customHeight="1">
      <c r="A5" s="33" t="s">
        <v>29</v>
      </c>
      <c r="B5">
        <v>0.181589393426065</v>
      </c>
      <c r="K5" s="33" t="s">
        <v>29</v>
      </c>
      <c r="L5">
        <v>0.358449233215206</v>
      </c>
    </row>
    <row r="6" spans="1:16" ht="15" customHeight="1">
      <c r="A6" s="33" t="s">
        <v>30</v>
      </c>
      <c r="B6">
        <v>3.2974707804846001E-2</v>
      </c>
      <c r="K6" s="33" t="s">
        <v>30</v>
      </c>
      <c r="L6">
        <v>0.12848585279256899</v>
      </c>
    </row>
    <row r="7" spans="1:16" ht="15" customHeight="1">
      <c r="A7" s="33" t="s">
        <v>31</v>
      </c>
      <c r="B7">
        <v>2.2109255083552201E-2</v>
      </c>
      <c r="K7" s="33" t="s">
        <v>31</v>
      </c>
      <c r="L7">
        <v>0.118232745178364</v>
      </c>
    </row>
    <row r="8" spans="1:16" ht="15" customHeight="1">
      <c r="A8" s="33" t="s">
        <v>32</v>
      </c>
      <c r="B8">
        <v>0.170603057667951</v>
      </c>
      <c r="K8" s="33" t="s">
        <v>32</v>
      </c>
      <c r="L8">
        <v>6.90214636314299E-2</v>
      </c>
    </row>
    <row r="9" spans="1:16" ht="15.75" customHeight="1">
      <c r="A9" s="34" t="s">
        <v>33</v>
      </c>
      <c r="B9" s="35">
        <v>91</v>
      </c>
      <c r="K9" s="34" t="s">
        <v>33</v>
      </c>
      <c r="L9" s="35">
        <v>87</v>
      </c>
    </row>
    <row r="11" spans="1:16" ht="15" customHeight="1">
      <c r="A11" t="s">
        <v>34</v>
      </c>
      <c r="K11" t="s">
        <v>34</v>
      </c>
    </row>
    <row r="12" spans="1:16" ht="15" customHeight="1">
      <c r="A12" s="36"/>
      <c r="B12" s="32" t="s">
        <v>35</v>
      </c>
      <c r="C12" s="36" t="s">
        <v>36</v>
      </c>
      <c r="D12" s="36" t="s">
        <v>37</v>
      </c>
      <c r="E12" s="36" t="s">
        <v>38</v>
      </c>
      <c r="F12" s="32" t="s">
        <v>39</v>
      </c>
      <c r="K12" s="36"/>
      <c r="L12" s="32" t="s">
        <v>35</v>
      </c>
      <c r="M12" s="36" t="s">
        <v>36</v>
      </c>
      <c r="N12" s="36" t="s">
        <v>37</v>
      </c>
      <c r="O12" s="36" t="s">
        <v>38</v>
      </c>
      <c r="P12" s="32" t="s">
        <v>39</v>
      </c>
    </row>
    <row r="13" spans="1:16" ht="15" customHeight="1">
      <c r="A13" s="33" t="s">
        <v>40</v>
      </c>
      <c r="B13">
        <v>1</v>
      </c>
      <c r="C13">
        <v>8.8329699047493604E-2</v>
      </c>
      <c r="D13">
        <v>8.8329699047493604E-2</v>
      </c>
      <c r="E13">
        <v>3.0348213416108298</v>
      </c>
      <c r="F13">
        <v>8.4950167051421804E-2</v>
      </c>
      <c r="K13" s="33" t="s">
        <v>40</v>
      </c>
      <c r="L13">
        <v>1</v>
      </c>
      <c r="M13">
        <v>5.9699146838330303E-2</v>
      </c>
      <c r="N13">
        <v>5.9699146838330303E-2</v>
      </c>
      <c r="O13">
        <v>12.5314058553877</v>
      </c>
      <c r="P13">
        <v>6.5186793449894902E-4</v>
      </c>
    </row>
    <row r="14" spans="1:16" ht="15" customHeight="1">
      <c r="A14" s="33" t="s">
        <v>41</v>
      </c>
      <c r="B14">
        <v>89</v>
      </c>
      <c r="C14">
        <v>2.5903808924232301</v>
      </c>
      <c r="D14">
        <v>2.9105403285654301E-2</v>
      </c>
      <c r="K14" s="33" t="s">
        <v>41</v>
      </c>
      <c r="L14">
        <v>85</v>
      </c>
      <c r="M14">
        <v>0.40493680755510902</v>
      </c>
      <c r="N14">
        <v>4.7639624418248103E-3</v>
      </c>
    </row>
    <row r="15" spans="1:16" ht="15.75" customHeight="1">
      <c r="A15" s="34" t="s">
        <v>42</v>
      </c>
      <c r="B15" s="35">
        <v>90</v>
      </c>
      <c r="C15" s="35">
        <v>2.6787105914707299</v>
      </c>
      <c r="D15" s="35"/>
      <c r="E15" s="35"/>
      <c r="F15" s="35"/>
      <c r="K15" s="34" t="s">
        <v>42</v>
      </c>
      <c r="L15" s="35">
        <v>86</v>
      </c>
      <c r="M15" s="35">
        <v>0.46463595439343902</v>
      </c>
      <c r="N15" s="35"/>
      <c r="O15" s="35"/>
      <c r="P15" s="35"/>
    </row>
    <row r="16" spans="1:16" ht="15" customHeight="1"/>
    <row r="17" spans="1:19" ht="15" customHeight="1">
      <c r="A17" s="36"/>
      <c r="B17" s="32" t="s">
        <v>43</v>
      </c>
      <c r="C17" s="32" t="s">
        <v>32</v>
      </c>
      <c r="D17" s="32" t="s">
        <v>44</v>
      </c>
      <c r="E17" s="32" t="s">
        <v>45</v>
      </c>
      <c r="F17" s="32" t="s">
        <v>46</v>
      </c>
      <c r="G17" s="32" t="s">
        <v>47</v>
      </c>
      <c r="H17" s="32" t="s">
        <v>48</v>
      </c>
      <c r="I17" s="32" t="s">
        <v>49</v>
      </c>
      <c r="K17" s="36"/>
      <c r="L17" s="32" t="s">
        <v>43</v>
      </c>
      <c r="M17" s="32" t="s">
        <v>32</v>
      </c>
      <c r="N17" s="32" t="s">
        <v>44</v>
      </c>
      <c r="O17" s="32" t="s">
        <v>45</v>
      </c>
      <c r="P17" s="32" t="s">
        <v>46</v>
      </c>
      <c r="Q17" s="32" t="s">
        <v>47</v>
      </c>
      <c r="R17" s="32" t="s">
        <v>48</v>
      </c>
      <c r="S17" s="32" t="s">
        <v>49</v>
      </c>
    </row>
    <row r="18" spans="1:19" ht="15" customHeight="1">
      <c r="A18" s="33" t="s">
        <v>50</v>
      </c>
      <c r="B18">
        <v>0.16232284614996201</v>
      </c>
      <c r="C18">
        <v>4.7528489507953402E-2</v>
      </c>
      <c r="D18">
        <v>3.4152746664250402</v>
      </c>
      <c r="E18">
        <v>9.61728309358025E-4</v>
      </c>
      <c r="F18">
        <v>6.7884749877950401E-2</v>
      </c>
      <c r="G18">
        <v>0.256760942421973</v>
      </c>
      <c r="H18">
        <v>6.7884749877950401E-2</v>
      </c>
      <c r="I18">
        <v>0.256760942421973</v>
      </c>
      <c r="K18" s="33" t="s">
        <v>50</v>
      </c>
      <c r="L18">
        <v>0.13762749657954501</v>
      </c>
      <c r="M18">
        <v>2.0042774805304898E-2</v>
      </c>
      <c r="N18">
        <v>6.8666887652261703</v>
      </c>
      <c r="O18">
        <v>1.0137007488816801E-9</v>
      </c>
      <c r="P18">
        <v>9.7777090657364493E-2</v>
      </c>
      <c r="Q18">
        <v>0.17747790250172599</v>
      </c>
      <c r="R18">
        <v>9.7777090657364493E-2</v>
      </c>
      <c r="S18">
        <v>0.17747790250172599</v>
      </c>
    </row>
    <row r="19" spans="1:19" ht="15" customHeight="1">
      <c r="A19" s="35">
        <v>8.7000667845460598</v>
      </c>
      <c r="B19" s="35">
        <v>-4.0625393174876902E-3</v>
      </c>
      <c r="C19" s="35">
        <v>2.3320132432213198E-3</v>
      </c>
      <c r="D19" s="35">
        <v>-1.7420738622718599</v>
      </c>
      <c r="E19" s="35">
        <v>8.49501670514239E-2</v>
      </c>
      <c r="F19" s="35">
        <v>-8.6961999587350305E-3</v>
      </c>
      <c r="G19" s="35">
        <v>5.7112132375965001E-4</v>
      </c>
      <c r="H19" s="35">
        <v>-8.6961999587350305E-3</v>
      </c>
      <c r="I19" s="35">
        <v>5.7112132375965001E-4</v>
      </c>
      <c r="K19" s="35">
        <v>8.7000667845460598</v>
      </c>
      <c r="L19" s="35">
        <v>-3.60706161540669E-3</v>
      </c>
      <c r="M19" s="35">
        <v>1.0189518521919801E-3</v>
      </c>
      <c r="N19" s="35">
        <v>-3.53997257833838</v>
      </c>
      <c r="O19" s="35">
        <v>6.5186793449894902E-4</v>
      </c>
      <c r="P19" s="35">
        <v>-5.6330108823844701E-3</v>
      </c>
      <c r="Q19" s="35">
        <v>-1.58111234842891E-3</v>
      </c>
      <c r="R19" s="35">
        <v>-5.6330108823844701E-3</v>
      </c>
      <c r="S19" s="35">
        <v>-1.58111234842891E-3</v>
      </c>
    </row>
    <row r="20" spans="1:19" ht="15" customHeight="1">
      <c r="K20" s="33"/>
      <c r="L20" s="33"/>
      <c r="M20" s="33"/>
      <c r="N20" s="33"/>
      <c r="O20" s="33"/>
      <c r="P20" s="33"/>
      <c r="Q20" s="33"/>
      <c r="R20" s="33"/>
      <c r="S20" s="33"/>
    </row>
    <row r="21" spans="1:19" ht="17.25" customHeight="1">
      <c r="A21" s="19"/>
      <c r="B21" s="19"/>
      <c r="C21" s="19"/>
      <c r="D21" s="19"/>
      <c r="E21" s="19"/>
      <c r="F21" s="19"/>
      <c r="G21" s="19"/>
      <c r="H21" s="19"/>
      <c r="I21" s="19"/>
      <c r="K21" s="33"/>
      <c r="L21" s="33"/>
      <c r="M21" s="33"/>
      <c r="N21" s="33"/>
      <c r="O21" s="33"/>
      <c r="P21" s="33"/>
      <c r="Q21" s="33"/>
      <c r="R21" s="33"/>
      <c r="S21" s="33"/>
    </row>
    <row r="22" spans="1:19" ht="15.75" customHeight="1">
      <c r="A22" s="37"/>
      <c r="B22" s="37"/>
      <c r="C22" s="37"/>
      <c r="D22" s="37"/>
      <c r="E22" s="37"/>
      <c r="F22" s="19"/>
      <c r="G22" s="19"/>
      <c r="H22" s="19"/>
      <c r="I22" s="19"/>
      <c r="K22" s="33"/>
      <c r="L22" s="33"/>
      <c r="M22" s="33"/>
      <c r="N22" s="33"/>
      <c r="O22" s="33"/>
      <c r="P22" s="33"/>
      <c r="Q22" s="33"/>
      <c r="R22" s="33"/>
      <c r="S22" s="33"/>
    </row>
    <row r="23" spans="1:19" ht="15" customHeight="1">
      <c r="A23" s="37"/>
      <c r="B23" s="37"/>
      <c r="C23" s="37"/>
      <c r="D23" s="37"/>
      <c r="E23" s="37"/>
      <c r="F23" s="19"/>
      <c r="G23" s="19"/>
      <c r="H23" s="19"/>
      <c r="I23" s="19"/>
    </row>
    <row r="24" spans="1:19" ht="15" customHeight="1">
      <c r="A24" s="37"/>
      <c r="B24" s="37"/>
      <c r="C24" s="37"/>
      <c r="D24" s="37"/>
      <c r="E24" s="37"/>
      <c r="F24" s="19"/>
      <c r="G24" s="19"/>
      <c r="H24" s="19"/>
      <c r="I24" s="19"/>
    </row>
    <row r="25" spans="1:19" ht="13.5" customHeight="1">
      <c r="A25" s="37" t="s">
        <v>51</v>
      </c>
      <c r="B25" s="37"/>
      <c r="C25" s="37"/>
      <c r="D25" s="37"/>
      <c r="E25" s="37"/>
      <c r="F25" s="19"/>
      <c r="G25" s="19"/>
      <c r="H25" s="19"/>
      <c r="I25" s="19"/>
      <c r="K25" t="s">
        <v>52</v>
      </c>
    </row>
    <row r="26" spans="1:19" ht="13.5" customHeight="1">
      <c r="A26" s="31" t="s">
        <v>27</v>
      </c>
      <c r="K26" s="31" t="s">
        <v>27</v>
      </c>
    </row>
    <row r="27" spans="1:19" ht="13.5" customHeight="1"/>
    <row r="28" spans="1:19" ht="13.5" customHeight="1">
      <c r="A28" s="2" t="s">
        <v>28</v>
      </c>
      <c r="B28" s="2"/>
      <c r="K28" s="2" t="s">
        <v>28</v>
      </c>
      <c r="L28" s="2"/>
    </row>
    <row r="29" spans="1:19" ht="13.5" customHeight="1">
      <c r="A29" s="33" t="s">
        <v>29</v>
      </c>
      <c r="B29">
        <v>0.23587841666848999</v>
      </c>
      <c r="K29" s="33" t="s">
        <v>29</v>
      </c>
      <c r="L29">
        <v>0.50206881130999204</v>
      </c>
    </row>
    <row r="30" spans="1:19" ht="15" customHeight="1">
      <c r="A30" s="33" t="s">
        <v>30</v>
      </c>
      <c r="B30">
        <v>5.5638627450033701E-2</v>
      </c>
      <c r="K30" s="33" t="s">
        <v>30</v>
      </c>
      <c r="L30">
        <v>0.25207309129022798</v>
      </c>
    </row>
    <row r="31" spans="1:19" ht="15" customHeight="1">
      <c r="A31" s="33" t="s">
        <v>31</v>
      </c>
      <c r="B31">
        <v>4.5027825511269999E-2</v>
      </c>
      <c r="K31" s="33" t="s">
        <v>31</v>
      </c>
      <c r="L31">
        <v>0.24327395118776099</v>
      </c>
    </row>
    <row r="32" spans="1:19" ht="15" customHeight="1">
      <c r="A32" s="33" t="s">
        <v>32</v>
      </c>
      <c r="B32">
        <v>0.165360098472908</v>
      </c>
      <c r="K32" s="33" t="s">
        <v>32</v>
      </c>
      <c r="L32">
        <v>6.0943145978023798E-2</v>
      </c>
    </row>
    <row r="33" spans="1:19" ht="15.75" customHeight="1">
      <c r="A33" s="34" t="s">
        <v>33</v>
      </c>
      <c r="B33" s="35">
        <v>91</v>
      </c>
      <c r="K33" s="34" t="s">
        <v>33</v>
      </c>
      <c r="L33" s="35">
        <v>87</v>
      </c>
    </row>
    <row r="35" spans="1:19" ht="15" customHeight="1">
      <c r="A35" t="s">
        <v>34</v>
      </c>
      <c r="K35" t="s">
        <v>34</v>
      </c>
    </row>
    <row r="36" spans="1:19" ht="15" customHeight="1">
      <c r="A36" s="36"/>
      <c r="B36" s="32" t="s">
        <v>35</v>
      </c>
      <c r="C36" s="36" t="s">
        <v>36</v>
      </c>
      <c r="D36" s="36" t="s">
        <v>37</v>
      </c>
      <c r="E36" s="36" t="s">
        <v>38</v>
      </c>
      <c r="F36" s="32" t="s">
        <v>39</v>
      </c>
      <c r="K36" s="36"/>
      <c r="L36" s="32" t="s">
        <v>35</v>
      </c>
      <c r="M36" s="36" t="s">
        <v>36</v>
      </c>
      <c r="N36" s="36" t="s">
        <v>37</v>
      </c>
      <c r="O36" s="36" t="s">
        <v>38</v>
      </c>
      <c r="P36" s="32" t="s">
        <v>39</v>
      </c>
    </row>
    <row r="37" spans="1:19" ht="15" customHeight="1">
      <c r="A37" s="33" t="s">
        <v>40</v>
      </c>
      <c r="B37">
        <v>1</v>
      </c>
      <c r="C37">
        <v>0.14338035266287399</v>
      </c>
      <c r="D37">
        <v>0.14338035266287399</v>
      </c>
      <c r="E37">
        <v>5.2435836396844904</v>
      </c>
      <c r="F37">
        <v>2.4392281761390602E-2</v>
      </c>
      <c r="K37" s="33" t="s">
        <v>40</v>
      </c>
      <c r="L37">
        <v>1</v>
      </c>
      <c r="M37">
        <v>0.106398619587563</v>
      </c>
      <c r="N37">
        <v>0.106398619587563</v>
      </c>
      <c r="O37">
        <v>28.647468770218701</v>
      </c>
      <c r="P37">
        <v>7.2520361062725101E-7</v>
      </c>
    </row>
    <row r="38" spans="1:19" ht="15" customHeight="1">
      <c r="A38" s="33" t="s">
        <v>41</v>
      </c>
      <c r="B38">
        <v>89</v>
      </c>
      <c r="C38">
        <v>2.4336126328602998</v>
      </c>
      <c r="D38">
        <v>2.7343962166969701E-2</v>
      </c>
      <c r="K38" s="33" t="s">
        <v>41</v>
      </c>
      <c r="L38">
        <v>85</v>
      </c>
      <c r="M38">
        <v>0.315695698544391</v>
      </c>
      <c r="N38">
        <v>3.7140670416987201E-3</v>
      </c>
    </row>
    <row r="39" spans="1:19" ht="15.75" customHeight="1">
      <c r="A39" s="34" t="s">
        <v>42</v>
      </c>
      <c r="B39" s="35">
        <v>90</v>
      </c>
      <c r="C39" s="35">
        <v>2.5769929855231801</v>
      </c>
      <c r="D39" s="35"/>
      <c r="E39" s="35"/>
      <c r="F39" s="35"/>
      <c r="K39" s="34" t="s">
        <v>42</v>
      </c>
      <c r="L39" s="35">
        <v>86</v>
      </c>
      <c r="M39" s="35">
        <v>0.42209431813195403</v>
      </c>
      <c r="N39" s="35"/>
      <c r="O39" s="35"/>
      <c r="P39" s="35"/>
    </row>
    <row r="40" spans="1:19" ht="15" customHeight="1"/>
    <row r="41" spans="1:19" ht="15" customHeight="1">
      <c r="A41" s="36"/>
      <c r="B41" s="32" t="s">
        <v>43</v>
      </c>
      <c r="C41" s="32" t="s">
        <v>32</v>
      </c>
      <c r="D41" s="32" t="s">
        <v>44</v>
      </c>
      <c r="E41" s="32" t="s">
        <v>45</v>
      </c>
      <c r="F41" s="32" t="s">
        <v>46</v>
      </c>
      <c r="G41" s="32" t="s">
        <v>47</v>
      </c>
      <c r="H41" s="32" t="s">
        <v>48</v>
      </c>
      <c r="I41" s="32" t="s">
        <v>49</v>
      </c>
      <c r="K41" s="36"/>
      <c r="L41" s="32" t="s">
        <v>43</v>
      </c>
      <c r="M41" s="32" t="s">
        <v>32</v>
      </c>
      <c r="N41" s="32" t="s">
        <v>44</v>
      </c>
      <c r="O41" s="32" t="s">
        <v>45</v>
      </c>
      <c r="P41" s="32" t="s">
        <v>46</v>
      </c>
      <c r="Q41" s="32" t="s">
        <v>47</v>
      </c>
      <c r="R41" s="32" t="s">
        <v>48</v>
      </c>
      <c r="S41" s="32" t="s">
        <v>49</v>
      </c>
    </row>
    <row r="42" spans="1:19" ht="15" customHeight="1">
      <c r="A42" s="33" t="s">
        <v>50</v>
      </c>
      <c r="B42">
        <v>0.220337418032897</v>
      </c>
      <c r="C42">
        <v>4.6067847861205997E-2</v>
      </c>
      <c r="D42">
        <v>4.7828893309002298</v>
      </c>
      <c r="E42">
        <v>6.8048685176781201E-6</v>
      </c>
      <c r="F42">
        <v>0.12880158560058499</v>
      </c>
      <c r="G42">
        <v>0.31187325046520997</v>
      </c>
      <c r="H42">
        <v>0.12880158560058499</v>
      </c>
      <c r="I42">
        <v>0.31187325046520997</v>
      </c>
      <c r="K42" s="33" t="s">
        <v>50</v>
      </c>
      <c r="L42">
        <v>0.197598803679782</v>
      </c>
      <c r="M42">
        <v>1.7696955215075201E-2</v>
      </c>
      <c r="N42">
        <v>11.165694961552299</v>
      </c>
      <c r="O42">
        <v>2.40031356252473E-18</v>
      </c>
      <c r="P42">
        <v>0.162412515565586</v>
      </c>
      <c r="Q42">
        <v>0.23278509179397799</v>
      </c>
      <c r="R42">
        <v>0.162412515565586</v>
      </c>
      <c r="S42">
        <v>0.23278509179397799</v>
      </c>
    </row>
    <row r="43" spans="1:19" ht="15" customHeight="1">
      <c r="A43" s="35">
        <v>8.7000667845460598</v>
      </c>
      <c r="B43" s="35">
        <v>-5.1759375042375903E-3</v>
      </c>
      <c r="C43" s="35">
        <v>2.2603460032337001E-3</v>
      </c>
      <c r="D43" s="35">
        <v>-2.2898872547976201</v>
      </c>
      <c r="E43" s="35">
        <v>2.43922817613897E-2</v>
      </c>
      <c r="F43" s="35">
        <v>-9.6671968661771208E-3</v>
      </c>
      <c r="G43" s="35">
        <v>-6.8467814229805299E-4</v>
      </c>
      <c r="H43" s="35">
        <v>-9.6671968661771208E-3</v>
      </c>
      <c r="I43" s="35">
        <v>-6.8467814229805299E-4</v>
      </c>
      <c r="K43" s="35">
        <v>8.7000667845460598</v>
      </c>
      <c r="L43" s="35">
        <v>-4.8154568470660398E-3</v>
      </c>
      <c r="M43" s="35">
        <v>8.9969305496494798E-4</v>
      </c>
      <c r="N43" s="35">
        <v>-5.3523330212365101</v>
      </c>
      <c r="O43" s="35">
        <v>7.2520361062725799E-7</v>
      </c>
      <c r="P43" s="35">
        <v>-6.6042876748329902E-3</v>
      </c>
      <c r="Q43" s="35">
        <v>-3.0266260192990898E-3</v>
      </c>
      <c r="R43" s="35">
        <v>-6.6042876748329902E-3</v>
      </c>
      <c r="S43" s="35">
        <v>-3.0266260192990898E-3</v>
      </c>
    </row>
    <row r="46" spans="1:19" ht="15" customHeight="1">
      <c r="A46" s="1" t="s">
        <v>53</v>
      </c>
      <c r="B46" s="1"/>
      <c r="C46" s="1"/>
      <c r="D46" s="1"/>
      <c r="E46" s="1"/>
      <c r="F46" s="1"/>
      <c r="G46" s="1"/>
      <c r="H46" s="1"/>
      <c r="I46" s="1"/>
    </row>
    <row r="47" spans="1:19" ht="13.5" customHeight="1">
      <c r="A47" s="1"/>
      <c r="B47" s="1"/>
      <c r="C47" s="1"/>
      <c r="D47" s="1"/>
      <c r="E47" s="1"/>
      <c r="F47" s="1"/>
      <c r="G47" s="1"/>
      <c r="H47" s="1"/>
      <c r="I47" s="1"/>
    </row>
    <row r="48" spans="1: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29"/>
      <c r="B52" s="29"/>
      <c r="C52" s="29"/>
      <c r="D52" s="29"/>
      <c r="E52" s="29"/>
    </row>
    <row r="53" spans="1:9">
      <c r="A53" s="29"/>
      <c r="B53" s="29"/>
      <c r="C53" s="29"/>
      <c r="D53" s="29"/>
      <c r="E53" s="29"/>
    </row>
    <row r="54" spans="1:9">
      <c r="A54" s="29"/>
      <c r="B54" s="29"/>
      <c r="C54" s="29"/>
      <c r="D54" s="29"/>
      <c r="E54" s="29"/>
    </row>
  </sheetData>
  <mergeCells count="5">
    <mergeCell ref="A4:B4"/>
    <mergeCell ref="K4:L4"/>
    <mergeCell ref="A28:B28"/>
    <mergeCell ref="K28:L28"/>
    <mergeCell ref="A46:I51"/>
  </mergeCells>
  <phoneticPr fontId="15"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30"/>
  <sheetViews>
    <sheetView zoomScale="70" zoomScaleNormal="70" workbookViewId="0">
      <pane xSplit="1" ySplit="1" topLeftCell="T19" activePane="bottomRight" state="frozen"/>
      <selection pane="topRight" activeCell="T1" sqref="T1"/>
      <selection pane="bottomLeft" activeCell="A19" sqref="A19"/>
      <selection pane="bottomRight" activeCell="AG12" sqref="AG12"/>
    </sheetView>
  </sheetViews>
  <sheetFormatPr defaultColWidth="9" defaultRowHeight="15"/>
  <cols>
    <col min="1" max="1" width="9.375" style="4" hidden="1" customWidth="1"/>
    <col min="2" max="2" width="11.875" style="4" hidden="1" customWidth="1"/>
    <col min="3" max="4" width="11.125" style="4" hidden="1" customWidth="1"/>
    <col min="5" max="5" width="10.875" style="5" hidden="1" customWidth="1"/>
    <col min="6" max="6" width="13" hidden="1" customWidth="1"/>
    <col min="7" max="7" width="13.625" hidden="1" customWidth="1"/>
    <col min="8" max="8" width="12.375" hidden="1" customWidth="1"/>
    <col min="9" max="9" width="12.625" hidden="1" customWidth="1"/>
    <col min="10" max="10" width="14.125" hidden="1" customWidth="1"/>
    <col min="11" max="11" width="9.125" hidden="1" customWidth="1"/>
    <col min="12" max="12" width="9.375" hidden="1" customWidth="1"/>
    <col min="13" max="16" width="9.125" hidden="1" customWidth="1"/>
    <col min="17" max="17" width="10.375" hidden="1" customWidth="1"/>
    <col min="18" max="18" width="9.125" hidden="1" customWidth="1"/>
    <col min="19" max="19" width="9" hidden="1"/>
    <col min="20" max="20" width="28.875" customWidth="1"/>
    <col min="21" max="21" width="22.375" customWidth="1"/>
    <col min="22" max="22" width="17.375" customWidth="1"/>
    <col min="23" max="23" width="21.875" customWidth="1"/>
    <col min="24" max="24" width="34" customWidth="1"/>
  </cols>
  <sheetData>
    <row r="1" spans="1:28" ht="68.25" customHeight="1">
      <c r="A1" s="6" t="s">
        <v>0</v>
      </c>
      <c r="B1" s="7" t="s">
        <v>1</v>
      </c>
      <c r="C1" s="7" t="s">
        <v>2</v>
      </c>
      <c r="D1" s="7" t="s">
        <v>3</v>
      </c>
      <c r="E1" s="8" t="s">
        <v>4</v>
      </c>
      <c r="F1" s="7" t="s">
        <v>5</v>
      </c>
      <c r="G1" s="7" t="s">
        <v>6</v>
      </c>
      <c r="H1" s="7" t="s">
        <v>7</v>
      </c>
      <c r="I1" s="7" t="s">
        <v>8</v>
      </c>
      <c r="J1" s="7" t="s">
        <v>9</v>
      </c>
      <c r="K1" s="7" t="s">
        <v>10</v>
      </c>
      <c r="L1" s="7" t="s">
        <v>11</v>
      </c>
      <c r="M1" s="7" t="s">
        <v>12</v>
      </c>
      <c r="N1" s="7" t="s">
        <v>13</v>
      </c>
      <c r="O1" s="7" t="s">
        <v>14</v>
      </c>
      <c r="P1" s="7" t="s">
        <v>15</v>
      </c>
      <c r="Q1" s="7" t="s">
        <v>16</v>
      </c>
      <c r="R1" s="7" t="s">
        <v>17</v>
      </c>
      <c r="T1" s="9" t="s">
        <v>18</v>
      </c>
      <c r="U1" s="10" t="s">
        <v>19</v>
      </c>
      <c r="V1" s="10" t="s">
        <v>20</v>
      </c>
      <c r="W1" s="9" t="s">
        <v>21</v>
      </c>
      <c r="X1" s="9" t="s">
        <v>22</v>
      </c>
    </row>
    <row r="2" spans="1:28">
      <c r="A2" s="11">
        <v>1922</v>
      </c>
      <c r="B2" s="12">
        <v>8.9</v>
      </c>
      <c r="C2" s="7"/>
      <c r="D2" s="7"/>
      <c r="E2" s="8"/>
    </row>
    <row r="3" spans="1:28">
      <c r="A3" s="11">
        <v>1923</v>
      </c>
      <c r="B3" s="12">
        <v>8.83</v>
      </c>
      <c r="C3" s="12">
        <v>0.53</v>
      </c>
      <c r="D3" s="12">
        <v>0.98</v>
      </c>
      <c r="E3" s="12">
        <v>17.3</v>
      </c>
      <c r="H3" s="13">
        <f t="shared" ref="H3:H34" si="0">B3 / E3 * $E$104</f>
        <v>161.0862514450867</v>
      </c>
      <c r="I3" s="13">
        <f t="shared" ref="I3:I34" si="1">C3 / E3 * $E$104</f>
        <v>9.6688236994219654</v>
      </c>
      <c r="J3" s="13">
        <f t="shared" ref="J3:J34" si="2">D3 / E3 * $E$104</f>
        <v>17.878202312138729</v>
      </c>
      <c r="M3" s="14">
        <f t="shared" ref="M3:M34" si="3">(B3-B2+C3)/B2</f>
        <v>5.1685393258426936E-2</v>
      </c>
      <c r="O3" s="15">
        <f t="shared" ref="O3:O34" si="4">M4</f>
        <v>0.26047565118912797</v>
      </c>
      <c r="P3" s="15">
        <f t="shared" ref="P3:P34" si="5">N4</f>
        <v>0.26047565118912802</v>
      </c>
      <c r="Q3" s="14">
        <f t="shared" ref="Q3:Q34" si="6">((1+M4)*(1+M5)*(1+M6)*(1+M7)*(1+M8))^(1/5)-1</f>
        <v>0.28632383848128473</v>
      </c>
      <c r="R3" s="14">
        <f t="shared" ref="R3:R34" si="7">((1+N4)*(1+N5)*(1+N6)*(1+N7)*(1+N8))^(1/5)-1</f>
        <v>0.28931880418251565</v>
      </c>
    </row>
    <row r="4" spans="1:28">
      <c r="A4" s="11">
        <v>1924</v>
      </c>
      <c r="B4" s="12">
        <v>10.58</v>
      </c>
      <c r="C4" s="12">
        <v>0.55000000000000004</v>
      </c>
      <c r="D4" s="12">
        <v>0.93</v>
      </c>
      <c r="E4" s="12">
        <v>17.3</v>
      </c>
      <c r="H4" s="13">
        <f t="shared" si="0"/>
        <v>193.01161271676301</v>
      </c>
      <c r="I4" s="13">
        <f t="shared" si="1"/>
        <v>10.033684971098266</v>
      </c>
      <c r="J4" s="13">
        <f t="shared" si="2"/>
        <v>16.96604913294798</v>
      </c>
      <c r="M4" s="14">
        <f t="shared" si="3"/>
        <v>0.26047565118912797</v>
      </c>
      <c r="N4" s="14">
        <f t="shared" ref="N4:N35" si="8">(H4-H3+I4)/H3</f>
        <v>0.26047565118912802</v>
      </c>
      <c r="O4" s="15">
        <f t="shared" si="4"/>
        <v>0.25236294896030248</v>
      </c>
      <c r="P4" s="15">
        <f t="shared" si="5"/>
        <v>0.21038430262643773</v>
      </c>
      <c r="Q4" s="14">
        <f t="shared" si="6"/>
        <v>0.20579037037144632</v>
      </c>
      <c r="R4" s="14">
        <f t="shared" si="7"/>
        <v>0.20718920287034215</v>
      </c>
    </row>
    <row r="5" spans="1:28">
      <c r="A5" s="11">
        <v>1925</v>
      </c>
      <c r="B5" s="12">
        <v>12.65</v>
      </c>
      <c r="C5" s="12">
        <v>0.6</v>
      </c>
      <c r="D5" s="12">
        <v>1.25</v>
      </c>
      <c r="E5" s="12">
        <v>17.899999999999999</v>
      </c>
      <c r="H5" s="13">
        <f t="shared" si="0"/>
        <v>223.03928770949724</v>
      </c>
      <c r="I5" s="13">
        <f t="shared" si="1"/>
        <v>10.578938547486034</v>
      </c>
      <c r="J5" s="13">
        <f t="shared" si="2"/>
        <v>22.039455307262575</v>
      </c>
      <c r="M5" s="14">
        <f t="shared" si="3"/>
        <v>0.25236294896030248</v>
      </c>
      <c r="N5" s="14">
        <f t="shared" si="8"/>
        <v>0.21038430262643773</v>
      </c>
      <c r="O5" s="15">
        <f t="shared" si="4"/>
        <v>0.11383399209486166</v>
      </c>
      <c r="P5" s="15">
        <f t="shared" si="5"/>
        <v>0.12641968692079222</v>
      </c>
      <c r="Q5" s="14">
        <f t="shared" si="6"/>
        <v>9.7182757597152225E-2</v>
      </c>
      <c r="R5" s="14">
        <f t="shared" si="7"/>
        <v>0.12068718278425483</v>
      </c>
    </row>
    <row r="6" spans="1:28" ht="18" customHeight="1">
      <c r="A6" s="11">
        <v>1926</v>
      </c>
      <c r="B6" s="12">
        <v>13.4</v>
      </c>
      <c r="C6" s="12">
        <v>0.69</v>
      </c>
      <c r="D6" s="12">
        <v>1.24</v>
      </c>
      <c r="E6" s="12">
        <v>17.7</v>
      </c>
      <c r="H6" s="13">
        <f t="shared" si="0"/>
        <v>238.93259887005652</v>
      </c>
      <c r="I6" s="13">
        <f t="shared" si="1"/>
        <v>12.303245762711864</v>
      </c>
      <c r="J6" s="13">
        <f t="shared" si="2"/>
        <v>22.110180790960452</v>
      </c>
      <c r="M6" s="14">
        <f t="shared" si="3"/>
        <v>0.11383399209486166</v>
      </c>
      <c r="N6" s="14">
        <f t="shared" si="8"/>
        <v>0.12641968692079222</v>
      </c>
      <c r="O6" s="15">
        <f t="shared" si="4"/>
        <v>0.36567164179104478</v>
      </c>
      <c r="P6" s="15">
        <f t="shared" si="5"/>
        <v>0.39724786472262941</v>
      </c>
      <c r="Q6" s="14">
        <f t="shared" si="6"/>
        <v>-4.0160776775048368E-2</v>
      </c>
      <c r="R6" s="14">
        <f t="shared" si="7"/>
        <v>-2.4777873847993126E-3</v>
      </c>
      <c r="X6" s="9"/>
      <c r="Y6" s="10"/>
      <c r="Z6" s="10"/>
      <c r="AA6" s="9"/>
      <c r="AB6" s="9"/>
    </row>
    <row r="7" spans="1:28">
      <c r="A7" s="11">
        <v>1927</v>
      </c>
      <c r="B7" s="12">
        <v>17.53</v>
      </c>
      <c r="C7" s="12">
        <v>0.77</v>
      </c>
      <c r="D7" s="12">
        <v>1.1100000000000001</v>
      </c>
      <c r="E7" s="12">
        <v>17.3</v>
      </c>
      <c r="H7" s="13">
        <f t="shared" si="0"/>
        <v>319.80090462427745</v>
      </c>
      <c r="I7" s="13">
        <f t="shared" si="1"/>
        <v>14.047158959537573</v>
      </c>
      <c r="J7" s="13">
        <f t="shared" si="2"/>
        <v>20.249800578034687</v>
      </c>
      <c r="M7" s="14">
        <f t="shared" si="3"/>
        <v>0.36567164179104478</v>
      </c>
      <c r="N7" s="14">
        <f t="shared" si="8"/>
        <v>0.39724786472262941</v>
      </c>
      <c r="O7" s="15">
        <f t="shared" si="4"/>
        <v>0.46662863662293197</v>
      </c>
      <c r="P7" s="15">
        <f t="shared" si="5"/>
        <v>0.48378218792846361</v>
      </c>
      <c r="Q7" s="14">
        <f t="shared" si="6"/>
        <v>-0.11414636506178122</v>
      </c>
      <c r="R7" s="14">
        <f t="shared" si="7"/>
        <v>-6.3480266101041516E-2</v>
      </c>
    </row>
    <row r="8" spans="1:28">
      <c r="A8" s="11">
        <v>1928</v>
      </c>
      <c r="B8" s="12">
        <v>24.86</v>
      </c>
      <c r="C8" s="12">
        <v>0.85</v>
      </c>
      <c r="D8" s="12">
        <v>1.38</v>
      </c>
      <c r="E8" s="12">
        <v>17.100000000000001</v>
      </c>
      <c r="H8" s="13">
        <f t="shared" si="0"/>
        <v>458.826918128655</v>
      </c>
      <c r="I8" s="13">
        <f t="shared" si="1"/>
        <v>15.687967836257309</v>
      </c>
      <c r="J8" s="13">
        <f t="shared" si="2"/>
        <v>25.469877192982455</v>
      </c>
      <c r="M8" s="14">
        <f t="shared" si="3"/>
        <v>0.46662863662293197</v>
      </c>
      <c r="N8" s="14">
        <f t="shared" si="8"/>
        <v>0.48378218792846361</v>
      </c>
      <c r="O8" s="15">
        <f t="shared" si="4"/>
        <v>-8.7691069991954904E-2</v>
      </c>
      <c r="P8" s="15">
        <f t="shared" si="5"/>
        <v>-9.299519167804815E-2</v>
      </c>
      <c r="Q8" s="14">
        <f t="shared" si="6"/>
        <v>-0.10445139764880762</v>
      </c>
      <c r="R8" s="14">
        <f t="shared" si="7"/>
        <v>-5.686557693501193E-2</v>
      </c>
    </row>
    <row r="9" spans="1:28">
      <c r="A9" s="11">
        <v>1929</v>
      </c>
      <c r="B9" s="12">
        <v>21.71</v>
      </c>
      <c r="C9" s="12">
        <v>0.97</v>
      </c>
      <c r="D9" s="12">
        <v>1.61</v>
      </c>
      <c r="E9" s="12">
        <v>17.2</v>
      </c>
      <c r="H9" s="13">
        <f t="shared" si="0"/>
        <v>398.35956686046518</v>
      </c>
      <c r="I9" s="13">
        <f t="shared" si="1"/>
        <v>17.798654069767441</v>
      </c>
      <c r="J9" s="13">
        <f t="shared" si="2"/>
        <v>29.542095930232563</v>
      </c>
      <c r="M9" s="14">
        <f t="shared" si="3"/>
        <v>-8.7691069991954904E-2</v>
      </c>
      <c r="N9" s="14">
        <f t="shared" si="8"/>
        <v>-9.299519167804815E-2</v>
      </c>
      <c r="O9" s="15">
        <f t="shared" si="4"/>
        <v>-0.21879318286503915</v>
      </c>
      <c r="P9" s="15">
        <f t="shared" si="5"/>
        <v>-0.16541880405457615</v>
      </c>
      <c r="Q9" s="14">
        <f t="shared" si="6"/>
        <v>-0.10270241464098506</v>
      </c>
      <c r="R9" s="14">
        <f t="shared" si="7"/>
        <v>-5.6762130285814894E-2</v>
      </c>
    </row>
    <row r="10" spans="1:28">
      <c r="A10" s="11">
        <v>1930</v>
      </c>
      <c r="B10" s="12">
        <v>15.98</v>
      </c>
      <c r="C10" s="12">
        <v>0.98</v>
      </c>
      <c r="D10" s="12">
        <v>0.97</v>
      </c>
      <c r="E10" s="12">
        <v>16.100000000000001</v>
      </c>
      <c r="H10" s="13">
        <f t="shared" si="0"/>
        <v>313.25266459627329</v>
      </c>
      <c r="I10" s="13">
        <f t="shared" si="1"/>
        <v>19.210739130434781</v>
      </c>
      <c r="J10" s="13">
        <f t="shared" si="2"/>
        <v>19.014711180124223</v>
      </c>
      <c r="M10" s="14">
        <f t="shared" si="3"/>
        <v>-0.21879318286503915</v>
      </c>
      <c r="N10" s="14">
        <f t="shared" si="8"/>
        <v>-0.16541880405457615</v>
      </c>
      <c r="O10" s="15">
        <f t="shared" si="4"/>
        <v>-0.42928660826032539</v>
      </c>
      <c r="P10" s="15">
        <f t="shared" si="5"/>
        <v>-0.37065167075282451</v>
      </c>
      <c r="Q10" s="14">
        <f t="shared" si="6"/>
        <v>2.7311327549685238E-2</v>
      </c>
      <c r="R10" s="14">
        <f t="shared" si="7"/>
        <v>5.9476760063119638E-2</v>
      </c>
    </row>
    <row r="11" spans="1:28">
      <c r="A11" s="11">
        <v>1931</v>
      </c>
      <c r="B11" s="12">
        <v>8.3000000000000007</v>
      </c>
      <c r="C11" s="12">
        <v>0.82</v>
      </c>
      <c r="D11" s="12">
        <v>0.61</v>
      </c>
      <c r="E11" s="12">
        <v>14.6</v>
      </c>
      <c r="H11" s="13">
        <f t="shared" si="0"/>
        <v>179.41928082191782</v>
      </c>
      <c r="I11" s="13">
        <f t="shared" si="1"/>
        <v>17.725760273972604</v>
      </c>
      <c r="J11" s="13">
        <f t="shared" si="2"/>
        <v>13.186236301369865</v>
      </c>
      <c r="M11" s="14">
        <f t="shared" si="3"/>
        <v>-0.42928660826032539</v>
      </c>
      <c r="N11" s="14">
        <f t="shared" si="8"/>
        <v>-0.37065167075282451</v>
      </c>
      <c r="O11" s="15">
        <f t="shared" si="4"/>
        <v>-8.5542168674698896E-2</v>
      </c>
      <c r="P11" s="15">
        <f t="shared" si="5"/>
        <v>1.9166743309114224E-2</v>
      </c>
      <c r="Q11" s="14">
        <f t="shared" si="6"/>
        <v>0.21683711081034684</v>
      </c>
      <c r="R11" s="14">
        <f t="shared" si="7"/>
        <v>0.22709280677424726</v>
      </c>
    </row>
    <row r="12" spans="1:28">
      <c r="A12" s="11">
        <v>1932</v>
      </c>
      <c r="B12" s="12">
        <v>7.09</v>
      </c>
      <c r="C12" s="12">
        <v>0.5</v>
      </c>
      <c r="D12" s="12">
        <v>0.41</v>
      </c>
      <c r="E12" s="12">
        <v>13.1</v>
      </c>
      <c r="H12" s="13">
        <f t="shared" si="0"/>
        <v>170.81217175572519</v>
      </c>
      <c r="I12" s="13">
        <f t="shared" si="1"/>
        <v>12.045992366412214</v>
      </c>
      <c r="J12" s="13">
        <f t="shared" si="2"/>
        <v>9.8777137404580166</v>
      </c>
      <c r="K12" s="13">
        <f t="shared" ref="K12:K43" si="9">AVERAGE(J3:J12)</f>
        <v>19.633432246651154</v>
      </c>
      <c r="L12" s="13">
        <f t="shared" ref="L12:L43" si="10">H12/K12</f>
        <v>8.700066784546058</v>
      </c>
      <c r="M12" s="14">
        <f t="shared" si="3"/>
        <v>-8.5542168674698896E-2</v>
      </c>
      <c r="N12" s="14">
        <f t="shared" si="8"/>
        <v>1.9166743309114224E-2</v>
      </c>
      <c r="O12" s="15">
        <f t="shared" si="4"/>
        <v>0.54866008462623406</v>
      </c>
      <c r="P12" s="15">
        <f t="shared" si="5"/>
        <v>0.5369278112578536</v>
      </c>
      <c r="Q12" s="14">
        <f t="shared" si="6"/>
        <v>0.14967574831842989</v>
      </c>
      <c r="R12" s="14">
        <f t="shared" si="7"/>
        <v>0.12812475950575197</v>
      </c>
    </row>
    <row r="13" spans="1:28" ht="17.25" customHeight="1">
      <c r="A13" s="11">
        <v>1933</v>
      </c>
      <c r="B13" s="16">
        <v>10.54</v>
      </c>
      <c r="C13" s="12">
        <v>0.44</v>
      </c>
      <c r="D13" s="12">
        <v>0.44</v>
      </c>
      <c r="E13" s="12">
        <v>13.2</v>
      </c>
      <c r="F13" s="17">
        <v>3.5000000000000001E-3</v>
      </c>
      <c r="G13" s="18">
        <v>1.35E-2</v>
      </c>
      <c r="H13" s="13">
        <f t="shared" si="0"/>
        <v>252.00581060606061</v>
      </c>
      <c r="I13" s="13">
        <f t="shared" si="1"/>
        <v>10.520166666666666</v>
      </c>
      <c r="J13" s="13">
        <f t="shared" si="2"/>
        <v>10.520166666666666</v>
      </c>
      <c r="K13" s="13">
        <f t="shared" si="9"/>
        <v>18.897628682103946</v>
      </c>
      <c r="L13" s="13">
        <f t="shared" si="10"/>
        <v>13.335313908708033</v>
      </c>
      <c r="M13" s="14">
        <f t="shared" si="3"/>
        <v>0.54866008462623406</v>
      </c>
      <c r="N13" s="14">
        <f t="shared" si="8"/>
        <v>0.5369278112578536</v>
      </c>
      <c r="O13" s="15">
        <f t="shared" si="4"/>
        <v>-7.8747628083491408E-2</v>
      </c>
      <c r="P13" s="15">
        <f t="shared" si="5"/>
        <v>-9.2497663485230378E-2</v>
      </c>
      <c r="Q13" s="14">
        <f t="shared" si="6"/>
        <v>8.3295870507249514E-2</v>
      </c>
      <c r="R13" s="14">
        <f t="shared" si="7"/>
        <v>7.0622254818809127E-2</v>
      </c>
      <c r="T13" s="13">
        <f t="shared" ref="T13:T44" si="11">L12</f>
        <v>8.700066784546058</v>
      </c>
      <c r="U13">
        <f t="shared" ref="U13:U44" si="12">IF(T13&lt;15,0.8,IF(T13&gt;25,0.3,0.6))</f>
        <v>0.8</v>
      </c>
      <c r="V13" s="19">
        <f t="shared" ref="V13:V44" si="13">1-U13</f>
        <v>0.19999999999999996</v>
      </c>
      <c r="W13" s="20">
        <f t="shared" ref="W13:W44" si="14">U13*M13+V13*F13</f>
        <v>0.43962806770098722</v>
      </c>
      <c r="X13" s="21">
        <f t="shared" ref="X13:X44" si="15">0.6*M13+0.4*F13</f>
        <v>0.33059605077574045</v>
      </c>
    </row>
    <row r="14" spans="1:28" ht="17.25" customHeight="1">
      <c r="A14" s="22">
        <v>1934</v>
      </c>
      <c r="B14" s="16">
        <v>9.26</v>
      </c>
      <c r="C14" s="16">
        <v>0.45</v>
      </c>
      <c r="D14" s="16">
        <v>0.49</v>
      </c>
      <c r="E14" s="16">
        <v>13.4</v>
      </c>
      <c r="F14" s="18">
        <v>2.7833333333333299E-3</v>
      </c>
      <c r="G14" s="18">
        <v>1.4800000000000001E-2</v>
      </c>
      <c r="H14" s="13">
        <f t="shared" si="0"/>
        <v>218.09718656716419</v>
      </c>
      <c r="I14" s="13">
        <f t="shared" si="1"/>
        <v>10.598675373134329</v>
      </c>
      <c r="J14" s="13">
        <f t="shared" si="2"/>
        <v>11.540779850746269</v>
      </c>
      <c r="K14" s="13">
        <f t="shared" si="9"/>
        <v>18.355101753883776</v>
      </c>
      <c r="L14" s="13">
        <f t="shared" si="10"/>
        <v>11.882101744329299</v>
      </c>
      <c r="M14" s="14">
        <f t="shared" si="3"/>
        <v>-7.8747628083491408E-2</v>
      </c>
      <c r="N14" s="14">
        <f t="shared" si="8"/>
        <v>-9.2497663485230378E-2</v>
      </c>
      <c r="O14" s="15">
        <f t="shared" si="4"/>
        <v>0.53671706263498919</v>
      </c>
      <c r="P14" s="15">
        <f t="shared" si="5"/>
        <v>0.49217453908035191</v>
      </c>
      <c r="Q14" s="14">
        <f t="shared" si="6"/>
        <v>0.10851573959502336</v>
      </c>
      <c r="R14" s="14">
        <f t="shared" si="7"/>
        <v>9.8846973831529406E-2</v>
      </c>
      <c r="T14" s="13">
        <f t="shared" si="11"/>
        <v>13.335313908708033</v>
      </c>
      <c r="U14">
        <f t="shared" si="12"/>
        <v>0.8</v>
      </c>
      <c r="V14" s="19">
        <f t="shared" si="13"/>
        <v>0.19999999999999996</v>
      </c>
      <c r="W14" s="20">
        <f t="shared" si="14"/>
        <v>-6.2441435800126469E-2</v>
      </c>
      <c r="X14" s="21">
        <f t="shared" si="15"/>
        <v>-4.6135243516761508E-2</v>
      </c>
    </row>
    <row r="15" spans="1:28" ht="17.25" customHeight="1">
      <c r="A15" s="22">
        <v>1935</v>
      </c>
      <c r="B15" s="16">
        <v>13.76</v>
      </c>
      <c r="C15" s="16">
        <v>0.47</v>
      </c>
      <c r="D15" s="16">
        <v>0.76</v>
      </c>
      <c r="E15" s="16">
        <v>13.8</v>
      </c>
      <c r="F15" s="18">
        <v>1.6750000000000001E-3</v>
      </c>
      <c r="G15" s="18">
        <v>1.35E-2</v>
      </c>
      <c r="H15" s="13">
        <f t="shared" si="0"/>
        <v>314.69020289855075</v>
      </c>
      <c r="I15" s="13">
        <f t="shared" si="1"/>
        <v>10.748865942028983</v>
      </c>
      <c r="J15" s="13">
        <f t="shared" si="2"/>
        <v>17.381144927536234</v>
      </c>
      <c r="K15" s="13">
        <f t="shared" si="9"/>
        <v>17.889270715911142</v>
      </c>
      <c r="L15" s="13">
        <f t="shared" si="10"/>
        <v>17.591002332960272</v>
      </c>
      <c r="M15" s="14">
        <f t="shared" si="3"/>
        <v>0.53671706263498919</v>
      </c>
      <c r="N15" s="14">
        <f t="shared" si="8"/>
        <v>0.49217453908035191</v>
      </c>
      <c r="O15" s="15">
        <f t="shared" si="4"/>
        <v>0.33066860465116277</v>
      </c>
      <c r="P15" s="15">
        <f t="shared" si="5"/>
        <v>0.31165905315614612</v>
      </c>
      <c r="Q15" s="14">
        <f t="shared" si="6"/>
        <v>-1.2871670578327166E-3</v>
      </c>
      <c r="R15" s="14">
        <f t="shared" si="7"/>
        <v>-5.5736464870561608E-3</v>
      </c>
      <c r="T15" s="13">
        <f t="shared" si="11"/>
        <v>11.882101744329299</v>
      </c>
      <c r="U15">
        <f t="shared" si="12"/>
        <v>0.8</v>
      </c>
      <c r="V15" s="19">
        <f t="shared" si="13"/>
        <v>0.19999999999999996</v>
      </c>
      <c r="W15" s="20">
        <f t="shared" si="14"/>
        <v>0.42970865010799136</v>
      </c>
      <c r="X15" s="21">
        <f t="shared" si="15"/>
        <v>0.32270023758099353</v>
      </c>
    </row>
    <row r="16" spans="1:28" ht="17.25" customHeight="1">
      <c r="A16" s="22">
        <v>1936</v>
      </c>
      <c r="B16" s="16">
        <v>17.59</v>
      </c>
      <c r="C16" s="16">
        <v>0.72</v>
      </c>
      <c r="D16" s="16">
        <v>1.02</v>
      </c>
      <c r="E16" s="16">
        <v>14</v>
      </c>
      <c r="F16" s="18">
        <v>1.725E-3</v>
      </c>
      <c r="G16" s="18">
        <v>1.47E-2</v>
      </c>
      <c r="H16" s="13">
        <f t="shared" si="0"/>
        <v>396.53513928571431</v>
      </c>
      <c r="I16" s="13">
        <f t="shared" si="1"/>
        <v>16.231114285714288</v>
      </c>
      <c r="J16" s="13">
        <f t="shared" si="2"/>
        <v>22.994078571428574</v>
      </c>
      <c r="K16" s="13">
        <f t="shared" si="9"/>
        <v>17.977660493957956</v>
      </c>
      <c r="L16" s="13">
        <f t="shared" si="10"/>
        <v>22.057104672712242</v>
      </c>
      <c r="M16" s="14">
        <f t="shared" si="3"/>
        <v>0.33066860465116277</v>
      </c>
      <c r="N16" s="14">
        <f t="shared" si="8"/>
        <v>0.31165905315614612</v>
      </c>
      <c r="O16" s="15">
        <f t="shared" si="4"/>
        <v>-0.3115406480955088</v>
      </c>
      <c r="P16" s="15">
        <f t="shared" si="5"/>
        <v>-0.33066451898174476</v>
      </c>
      <c r="Q16" s="14">
        <f t="shared" si="6"/>
        <v>-7.3614895930576574E-2</v>
      </c>
      <c r="R16" s="14">
        <f t="shared" si="7"/>
        <v>-9.2282244376987066E-2</v>
      </c>
      <c r="T16" s="13">
        <f t="shared" si="11"/>
        <v>17.591002332960272</v>
      </c>
      <c r="U16">
        <f t="shared" si="12"/>
        <v>0.6</v>
      </c>
      <c r="V16" s="19">
        <f t="shared" si="13"/>
        <v>0.4</v>
      </c>
      <c r="W16" s="20">
        <f t="shared" si="14"/>
        <v>0.19909116279069766</v>
      </c>
      <c r="X16" s="21">
        <f t="shared" si="15"/>
        <v>0.19909116279069766</v>
      </c>
    </row>
    <row r="17" spans="1:24" ht="17.25" customHeight="1">
      <c r="A17" s="22">
        <v>1937</v>
      </c>
      <c r="B17" s="16">
        <v>11.31</v>
      </c>
      <c r="C17" s="16">
        <v>0.8</v>
      </c>
      <c r="D17" s="16">
        <v>1.1299999999999999</v>
      </c>
      <c r="E17" s="16">
        <v>14.4</v>
      </c>
      <c r="F17" s="18">
        <v>2.7583333333333301E-3</v>
      </c>
      <c r="G17" s="18">
        <v>1.5800000000000002E-2</v>
      </c>
      <c r="H17" s="13">
        <f t="shared" si="0"/>
        <v>247.88142708333334</v>
      </c>
      <c r="I17" s="13">
        <f t="shared" si="1"/>
        <v>17.533611111111114</v>
      </c>
      <c r="J17" s="13">
        <f t="shared" si="2"/>
        <v>24.76622569444444</v>
      </c>
      <c r="K17" s="13">
        <f t="shared" si="9"/>
        <v>18.429303005598932</v>
      </c>
      <c r="L17" s="13">
        <f t="shared" si="10"/>
        <v>13.450396198273232</v>
      </c>
      <c r="M17" s="14">
        <f t="shared" si="3"/>
        <v>-0.3115406480955088</v>
      </c>
      <c r="N17" s="14">
        <f t="shared" si="8"/>
        <v>-0.33066451898174476</v>
      </c>
      <c r="O17" s="15">
        <f t="shared" si="4"/>
        <v>0.15030946065428819</v>
      </c>
      <c r="P17" s="15">
        <f t="shared" si="5"/>
        <v>0.18317544524441093</v>
      </c>
      <c r="Q17" s="14">
        <f t="shared" si="6"/>
        <v>3.4569953286473165E-2</v>
      </c>
      <c r="R17" s="14">
        <f t="shared" si="7"/>
        <v>1.9706924982221263E-3</v>
      </c>
      <c r="T17" s="13">
        <f t="shared" si="11"/>
        <v>22.057104672712242</v>
      </c>
      <c r="U17">
        <f t="shared" si="12"/>
        <v>0.6</v>
      </c>
      <c r="V17" s="19">
        <f t="shared" si="13"/>
        <v>0.4</v>
      </c>
      <c r="W17" s="20">
        <f t="shared" si="14"/>
        <v>-0.18582105552397193</v>
      </c>
      <c r="X17" s="21">
        <f t="shared" si="15"/>
        <v>-0.18582105552397193</v>
      </c>
    </row>
    <row r="18" spans="1:24" ht="17.25" customHeight="1">
      <c r="A18" s="22">
        <v>1938</v>
      </c>
      <c r="B18" s="16">
        <v>12.5</v>
      </c>
      <c r="C18" s="16">
        <v>0.51</v>
      </c>
      <c r="D18" s="16">
        <v>0.64</v>
      </c>
      <c r="E18" s="16">
        <v>14</v>
      </c>
      <c r="F18" s="18">
        <v>6.4999999999999997E-4</v>
      </c>
      <c r="G18" s="18">
        <v>1.2699999999999999E-2</v>
      </c>
      <c r="H18" s="13">
        <f t="shared" si="0"/>
        <v>281.79017857142861</v>
      </c>
      <c r="I18" s="13">
        <f t="shared" si="1"/>
        <v>11.497039285714287</v>
      </c>
      <c r="J18" s="13">
        <f t="shared" si="2"/>
        <v>14.427657142857143</v>
      </c>
      <c r="K18" s="13">
        <f t="shared" si="9"/>
        <v>17.325081000586401</v>
      </c>
      <c r="L18" s="13">
        <f t="shared" si="10"/>
        <v>16.264869327992802</v>
      </c>
      <c r="M18" s="14">
        <f t="shared" si="3"/>
        <v>0.15030946065428819</v>
      </c>
      <c r="N18" s="14">
        <f t="shared" si="8"/>
        <v>0.18317544524441093</v>
      </c>
      <c r="O18" s="15">
        <f t="shared" si="4"/>
        <v>3.3600000000000053E-2</v>
      </c>
      <c r="P18" s="15">
        <f t="shared" si="5"/>
        <v>3.3600000000000088E-2</v>
      </c>
      <c r="Q18" s="14">
        <f t="shared" si="6"/>
        <v>4.935466621666329E-2</v>
      </c>
      <c r="R18" s="14">
        <f t="shared" si="7"/>
        <v>4.7038247121615751E-3</v>
      </c>
      <c r="T18" s="13">
        <f t="shared" si="11"/>
        <v>13.450396198273232</v>
      </c>
      <c r="U18">
        <f t="shared" si="12"/>
        <v>0.8</v>
      </c>
      <c r="V18" s="19">
        <f t="shared" si="13"/>
        <v>0.19999999999999996</v>
      </c>
      <c r="W18" s="20">
        <f t="shared" si="14"/>
        <v>0.12037756852343055</v>
      </c>
      <c r="X18" s="21">
        <f t="shared" si="15"/>
        <v>9.0445676392572907E-2</v>
      </c>
    </row>
    <row r="19" spans="1:24" ht="17.25" customHeight="1">
      <c r="A19" s="22">
        <v>1939</v>
      </c>
      <c r="B19" s="16">
        <v>12.3</v>
      </c>
      <c r="C19" s="16">
        <v>0.62</v>
      </c>
      <c r="D19" s="16">
        <v>0.9</v>
      </c>
      <c r="E19" s="16">
        <v>14</v>
      </c>
      <c r="F19" s="18">
        <v>4.58333333333333E-4</v>
      </c>
      <c r="G19" s="18">
        <v>1.35E-2</v>
      </c>
      <c r="H19" s="13">
        <f t="shared" si="0"/>
        <v>277.28153571428578</v>
      </c>
      <c r="I19" s="13">
        <f t="shared" si="1"/>
        <v>13.976792857142858</v>
      </c>
      <c r="J19" s="13">
        <f t="shared" si="2"/>
        <v>20.288892857142862</v>
      </c>
      <c r="K19" s="13">
        <f t="shared" si="9"/>
        <v>16.399760693277425</v>
      </c>
      <c r="L19" s="13">
        <f t="shared" si="10"/>
        <v>16.907657428681187</v>
      </c>
      <c r="M19" s="14">
        <f t="shared" si="3"/>
        <v>3.3600000000000053E-2</v>
      </c>
      <c r="N19" s="14">
        <f t="shared" si="8"/>
        <v>3.3600000000000088E-2</v>
      </c>
      <c r="O19" s="15">
        <f t="shared" si="4"/>
        <v>-8.7804878048780483E-2</v>
      </c>
      <c r="P19" s="15">
        <f t="shared" si="5"/>
        <v>-9.427434699878931E-2</v>
      </c>
      <c r="Q19" s="14">
        <f t="shared" si="6"/>
        <v>7.9783185303706317E-2</v>
      </c>
      <c r="R19" s="14">
        <f t="shared" si="7"/>
        <v>2.9148787944441423E-2</v>
      </c>
      <c r="T19" s="13">
        <f t="shared" si="11"/>
        <v>16.264869327992802</v>
      </c>
      <c r="U19">
        <f t="shared" si="12"/>
        <v>0.6</v>
      </c>
      <c r="V19" s="19">
        <f t="shared" si="13"/>
        <v>0.4</v>
      </c>
      <c r="W19" s="20">
        <f t="shared" si="14"/>
        <v>2.0343333333333366E-2</v>
      </c>
      <c r="X19" s="21">
        <f t="shared" si="15"/>
        <v>2.0343333333333366E-2</v>
      </c>
    </row>
    <row r="20" spans="1:24" ht="17.25" customHeight="1">
      <c r="A20" s="22">
        <v>1940</v>
      </c>
      <c r="B20" s="16">
        <v>10.55</v>
      </c>
      <c r="C20" s="16">
        <v>0.67</v>
      </c>
      <c r="D20" s="16">
        <v>1.05</v>
      </c>
      <c r="E20" s="16">
        <v>14.1</v>
      </c>
      <c r="F20" s="18">
        <v>3.5833333333333301E-4</v>
      </c>
      <c r="G20" s="18">
        <v>1.34E-2</v>
      </c>
      <c r="H20" s="13">
        <f t="shared" si="0"/>
        <v>236.14416666666668</v>
      </c>
      <c r="I20" s="13">
        <f t="shared" si="1"/>
        <v>14.996833333333337</v>
      </c>
      <c r="J20" s="13">
        <f t="shared" si="2"/>
        <v>23.502500000000005</v>
      </c>
      <c r="K20" s="13">
        <f t="shared" si="9"/>
        <v>16.848539575265008</v>
      </c>
      <c r="L20" s="13">
        <f t="shared" si="10"/>
        <v>14.015705373855965</v>
      </c>
      <c r="M20" s="14">
        <f t="shared" si="3"/>
        <v>-8.7804878048780483E-2</v>
      </c>
      <c r="N20" s="14">
        <f t="shared" si="8"/>
        <v>-9.427434699878931E-2</v>
      </c>
      <c r="O20" s="15">
        <f t="shared" si="4"/>
        <v>-8.6255924170616199E-2</v>
      </c>
      <c r="P20" s="15">
        <f t="shared" si="5"/>
        <v>-0.16878764714875405</v>
      </c>
      <c r="Q20" s="14">
        <f t="shared" si="6"/>
        <v>0.17379429823894865</v>
      </c>
      <c r="R20" s="14">
        <f t="shared" si="7"/>
        <v>0.11537662959632611</v>
      </c>
      <c r="T20" s="13">
        <f t="shared" si="11"/>
        <v>16.907657428681187</v>
      </c>
      <c r="U20">
        <f t="shared" si="12"/>
        <v>0.6</v>
      </c>
      <c r="V20" s="19">
        <f t="shared" si="13"/>
        <v>0.4</v>
      </c>
      <c r="W20" s="20">
        <f t="shared" si="14"/>
        <v>-5.2539593495934955E-2</v>
      </c>
      <c r="X20" s="21">
        <f t="shared" si="15"/>
        <v>-5.2539593495934955E-2</v>
      </c>
    </row>
    <row r="21" spans="1:24" ht="17.25" customHeight="1">
      <c r="A21" s="22">
        <v>1941</v>
      </c>
      <c r="B21" s="16">
        <v>8.93</v>
      </c>
      <c r="C21" s="16">
        <v>0.71</v>
      </c>
      <c r="D21" s="16">
        <v>1.1599999999999999</v>
      </c>
      <c r="E21" s="16">
        <v>15.5</v>
      </c>
      <c r="F21" s="18">
        <v>1.1000000000000001E-3</v>
      </c>
      <c r="G21" s="18">
        <v>1.4780669548173E-2</v>
      </c>
      <c r="H21" s="13">
        <f t="shared" si="0"/>
        <v>181.82920322580645</v>
      </c>
      <c r="I21" s="13">
        <f t="shared" si="1"/>
        <v>14.456745161290323</v>
      </c>
      <c r="J21" s="13">
        <f t="shared" si="2"/>
        <v>23.619470967741933</v>
      </c>
      <c r="K21" s="13">
        <f t="shared" si="9"/>
        <v>17.891863041902216</v>
      </c>
      <c r="L21" s="13">
        <f t="shared" si="10"/>
        <v>10.162675781720877</v>
      </c>
      <c r="M21" s="14">
        <f t="shared" si="3"/>
        <v>-8.6255924170616199E-2</v>
      </c>
      <c r="N21" s="14">
        <f t="shared" si="8"/>
        <v>-0.16878764714875405</v>
      </c>
      <c r="O21" s="15">
        <f t="shared" si="4"/>
        <v>0.19596864501679731</v>
      </c>
      <c r="P21" s="15">
        <f t="shared" si="5"/>
        <v>9.6894319394104242E-2</v>
      </c>
      <c r="Q21" s="14">
        <f t="shared" si="6"/>
        <v>0.16590921829107619</v>
      </c>
      <c r="R21" s="14">
        <f t="shared" si="7"/>
        <v>9.2052163846794155E-2</v>
      </c>
      <c r="T21" s="13">
        <f t="shared" si="11"/>
        <v>14.015705373855965</v>
      </c>
      <c r="U21">
        <f t="shared" si="12"/>
        <v>0.8</v>
      </c>
      <c r="V21" s="19">
        <f t="shared" si="13"/>
        <v>0.19999999999999996</v>
      </c>
      <c r="W21" s="20">
        <f t="shared" si="14"/>
        <v>-6.878473933649297E-2</v>
      </c>
      <c r="X21" s="21">
        <f t="shared" si="15"/>
        <v>-5.1313554502369713E-2</v>
      </c>
    </row>
    <row r="22" spans="1:24" ht="17.25" customHeight="1">
      <c r="A22" s="22">
        <v>1942</v>
      </c>
      <c r="B22" s="16">
        <v>10.09</v>
      </c>
      <c r="C22" s="16">
        <v>0.59</v>
      </c>
      <c r="D22" s="16">
        <v>1.03</v>
      </c>
      <c r="E22" s="16">
        <v>16.899999999999999</v>
      </c>
      <c r="F22" s="18">
        <v>4.3E-3</v>
      </c>
      <c r="G22" s="18">
        <v>1.7288843878308001E-2</v>
      </c>
      <c r="H22" s="13">
        <f t="shared" si="0"/>
        <v>188.42925739644974</v>
      </c>
      <c r="I22" s="13">
        <f t="shared" si="1"/>
        <v>11.018162721893491</v>
      </c>
      <c r="J22" s="13">
        <f t="shared" si="2"/>
        <v>19.2350976331361</v>
      </c>
      <c r="K22" s="13">
        <f t="shared" si="9"/>
        <v>18.82760143117002</v>
      </c>
      <c r="L22" s="13">
        <f t="shared" si="10"/>
        <v>10.008139278139584</v>
      </c>
      <c r="M22" s="14">
        <f t="shared" si="3"/>
        <v>0.19596864501679731</v>
      </c>
      <c r="N22" s="14">
        <f t="shared" si="8"/>
        <v>9.6894319394104242E-2</v>
      </c>
      <c r="O22" s="15">
        <f t="shared" si="4"/>
        <v>0.23488602576808718</v>
      </c>
      <c r="P22" s="15">
        <f t="shared" si="5"/>
        <v>0.19940079514256739</v>
      </c>
      <c r="Q22" s="14">
        <f t="shared" si="6"/>
        <v>0.13164115631539719</v>
      </c>
      <c r="R22" s="14">
        <f t="shared" si="7"/>
        <v>6.0334526865091664E-2</v>
      </c>
      <c r="T22" s="13">
        <f t="shared" si="11"/>
        <v>10.162675781720877</v>
      </c>
      <c r="U22">
        <f t="shared" si="12"/>
        <v>0.8</v>
      </c>
      <c r="V22" s="19">
        <f t="shared" si="13"/>
        <v>0.19999999999999996</v>
      </c>
      <c r="W22" s="20">
        <f t="shared" si="14"/>
        <v>0.15763491601343785</v>
      </c>
      <c r="X22" s="21">
        <f t="shared" si="15"/>
        <v>0.11930118701007839</v>
      </c>
    </row>
    <row r="23" spans="1:24" ht="17.25" customHeight="1">
      <c r="A23" s="22">
        <v>1943</v>
      </c>
      <c r="B23" s="16">
        <v>11.85</v>
      </c>
      <c r="C23" s="16">
        <v>0.61</v>
      </c>
      <c r="D23" s="16">
        <v>0.94</v>
      </c>
      <c r="E23" s="16">
        <v>17.399999999999999</v>
      </c>
      <c r="F23" s="18">
        <v>8.3999999999999995E-3</v>
      </c>
      <c r="G23" s="18">
        <v>1.6500042374821E-2</v>
      </c>
      <c r="H23" s="13">
        <f t="shared" si="0"/>
        <v>214.93788793103451</v>
      </c>
      <c r="I23" s="13">
        <f t="shared" si="1"/>
        <v>11.064313218390806</v>
      </c>
      <c r="J23" s="13">
        <f t="shared" si="2"/>
        <v>17.049925287356324</v>
      </c>
      <c r="K23" s="13">
        <f t="shared" si="9"/>
        <v>19.480577293238987</v>
      </c>
      <c r="L23" s="13">
        <f t="shared" si="10"/>
        <v>11.033445502953949</v>
      </c>
      <c r="M23" s="14">
        <f t="shared" si="3"/>
        <v>0.23488602576808718</v>
      </c>
      <c r="N23" s="14">
        <f t="shared" si="8"/>
        <v>0.19940079514256739</v>
      </c>
      <c r="O23" s="15">
        <f t="shared" si="4"/>
        <v>0.19240506329113929</v>
      </c>
      <c r="P23" s="15">
        <f t="shared" si="5"/>
        <v>0.16560944389133819</v>
      </c>
      <c r="Q23" s="14">
        <f t="shared" si="6"/>
        <v>0.10545061397765898</v>
      </c>
      <c r="R23" s="14">
        <f t="shared" si="7"/>
        <v>3.5728165033434234E-2</v>
      </c>
      <c r="T23" s="13">
        <f t="shared" si="11"/>
        <v>10.008139278139584</v>
      </c>
      <c r="U23">
        <f t="shared" si="12"/>
        <v>0.8</v>
      </c>
      <c r="V23" s="19">
        <f t="shared" si="13"/>
        <v>0.19999999999999996</v>
      </c>
      <c r="W23" s="20">
        <f t="shared" si="14"/>
        <v>0.18958882061446974</v>
      </c>
      <c r="X23" s="21">
        <f t="shared" si="15"/>
        <v>0.14429161546085231</v>
      </c>
    </row>
    <row r="24" spans="1:24" ht="17.25" customHeight="1">
      <c r="A24" s="22">
        <v>1944</v>
      </c>
      <c r="B24" s="16">
        <v>13.49</v>
      </c>
      <c r="C24" s="16">
        <v>0.64</v>
      </c>
      <c r="D24" s="16">
        <v>0.93</v>
      </c>
      <c r="E24" s="16">
        <v>17.8</v>
      </c>
      <c r="F24" s="18">
        <v>8.6999999999999994E-3</v>
      </c>
      <c r="G24" s="18">
        <v>1.4987802215721E-2</v>
      </c>
      <c r="H24" s="13">
        <f t="shared" si="0"/>
        <v>239.18603651685393</v>
      </c>
      <c r="I24" s="13">
        <f t="shared" si="1"/>
        <v>11.347595505617978</v>
      </c>
      <c r="J24" s="13">
        <f t="shared" si="2"/>
        <v>16.489474719101125</v>
      </c>
      <c r="K24" s="13">
        <f t="shared" si="9"/>
        <v>19.975446780074474</v>
      </c>
      <c r="L24" s="13">
        <f t="shared" si="10"/>
        <v>11.974001840872075</v>
      </c>
      <c r="M24" s="14">
        <f t="shared" si="3"/>
        <v>0.19240506329113929</v>
      </c>
      <c r="N24" s="14">
        <f t="shared" si="8"/>
        <v>0.16560944389133819</v>
      </c>
      <c r="O24" s="15">
        <f t="shared" si="4"/>
        <v>0.38472942920681985</v>
      </c>
      <c r="P24" s="15">
        <f t="shared" si="5"/>
        <v>0.35429581537809873</v>
      </c>
      <c r="Q24" s="14">
        <f t="shared" si="6"/>
        <v>0.10186223176433984</v>
      </c>
      <c r="R24" s="14">
        <f t="shared" si="7"/>
        <v>4.1427153478462264E-2</v>
      </c>
      <c r="T24" s="13">
        <f t="shared" si="11"/>
        <v>11.033445502953949</v>
      </c>
      <c r="U24">
        <f t="shared" si="12"/>
        <v>0.8</v>
      </c>
      <c r="V24" s="19">
        <f t="shared" si="13"/>
        <v>0.19999999999999996</v>
      </c>
      <c r="W24" s="20">
        <f t="shared" si="14"/>
        <v>0.15566405063291144</v>
      </c>
      <c r="X24" s="21">
        <f t="shared" si="15"/>
        <v>0.11892303797468357</v>
      </c>
    </row>
    <row r="25" spans="1:24" ht="17.25" customHeight="1">
      <c r="A25" s="22">
        <v>1945</v>
      </c>
      <c r="B25" s="16">
        <v>18.02</v>
      </c>
      <c r="C25" s="16">
        <v>0.66</v>
      </c>
      <c r="D25" s="16">
        <v>0.96</v>
      </c>
      <c r="E25" s="16">
        <v>18.2</v>
      </c>
      <c r="F25" s="18">
        <v>7.9000000000000008E-3</v>
      </c>
      <c r="G25" s="18">
        <v>1.2671820349934E-2</v>
      </c>
      <c r="H25" s="13">
        <f t="shared" si="0"/>
        <v>312.48363186813191</v>
      </c>
      <c r="I25" s="13">
        <f t="shared" si="1"/>
        <v>11.445016483516484</v>
      </c>
      <c r="J25" s="13">
        <f t="shared" si="2"/>
        <v>16.647296703296703</v>
      </c>
      <c r="K25" s="13">
        <f t="shared" si="9"/>
        <v>19.902061957650524</v>
      </c>
      <c r="L25" s="13">
        <f t="shared" si="10"/>
        <v>15.70106818746037</v>
      </c>
      <c r="M25" s="14">
        <f t="shared" si="3"/>
        <v>0.38472942920681985</v>
      </c>
      <c r="N25" s="14">
        <f t="shared" si="8"/>
        <v>0.35429581537809873</v>
      </c>
      <c r="O25" s="15">
        <f t="shared" si="4"/>
        <v>-0.11653718091009982</v>
      </c>
      <c r="P25" s="15">
        <f t="shared" si="5"/>
        <v>-0.25213845081692171</v>
      </c>
      <c r="Q25" s="14">
        <f t="shared" si="6"/>
        <v>9.5237825354082206E-2</v>
      </c>
      <c r="R25" s="14">
        <f t="shared" si="7"/>
        <v>2.7861762415989366E-2</v>
      </c>
      <c r="T25" s="13">
        <f t="shared" si="11"/>
        <v>11.974001840872075</v>
      </c>
      <c r="U25">
        <f t="shared" si="12"/>
        <v>0.8</v>
      </c>
      <c r="V25" s="19">
        <f t="shared" si="13"/>
        <v>0.19999999999999996</v>
      </c>
      <c r="W25" s="20">
        <f t="shared" si="14"/>
        <v>0.30936354336545591</v>
      </c>
      <c r="X25" s="21">
        <f t="shared" si="15"/>
        <v>0.23399765752409191</v>
      </c>
    </row>
    <row r="26" spans="1:24" ht="17.25" customHeight="1">
      <c r="A26" s="22">
        <v>1946</v>
      </c>
      <c r="B26" s="16">
        <v>15.21</v>
      </c>
      <c r="C26" s="16">
        <v>0.71</v>
      </c>
      <c r="D26" s="16">
        <v>1.06</v>
      </c>
      <c r="E26" s="16">
        <v>21.5</v>
      </c>
      <c r="F26" s="18">
        <v>8.3000000000000001E-3</v>
      </c>
      <c r="G26" s="18">
        <v>9.9000000000000008E-3</v>
      </c>
      <c r="H26" s="13">
        <f t="shared" si="0"/>
        <v>223.27218837209307</v>
      </c>
      <c r="I26" s="13">
        <f t="shared" si="1"/>
        <v>10.422304651162792</v>
      </c>
      <c r="J26" s="13">
        <f t="shared" si="2"/>
        <v>15.56006046511628</v>
      </c>
      <c r="K26" s="13">
        <f t="shared" si="9"/>
        <v>19.158660147019294</v>
      </c>
      <c r="L26" s="13">
        <f t="shared" si="10"/>
        <v>11.653851921728972</v>
      </c>
      <c r="M26" s="14">
        <f t="shared" si="3"/>
        <v>-0.11653718091009982</v>
      </c>
      <c r="N26" s="14">
        <f t="shared" si="8"/>
        <v>-0.25213845081692171</v>
      </c>
      <c r="O26" s="15">
        <f t="shared" si="4"/>
        <v>3.0243261012491727E-2</v>
      </c>
      <c r="P26" s="15">
        <f t="shared" si="5"/>
        <v>-5.3408969582539607E-2</v>
      </c>
      <c r="Q26" s="14">
        <f t="shared" si="6"/>
        <v>0.16576399609966685</v>
      </c>
      <c r="R26" s="14">
        <f t="shared" si="7"/>
        <v>0.11801892613354781</v>
      </c>
      <c r="T26" s="13">
        <f t="shared" si="11"/>
        <v>15.70106818746037</v>
      </c>
      <c r="U26">
        <f t="shared" si="12"/>
        <v>0.6</v>
      </c>
      <c r="V26" s="19">
        <f t="shared" si="13"/>
        <v>0.4</v>
      </c>
      <c r="W26" s="20">
        <f t="shared" si="14"/>
        <v>-6.6602308546059891E-2</v>
      </c>
      <c r="X26" s="21">
        <f t="shared" si="15"/>
        <v>-6.6602308546059891E-2</v>
      </c>
    </row>
    <row r="27" spans="1:24" ht="17.25" customHeight="1">
      <c r="A27" s="22">
        <v>1947</v>
      </c>
      <c r="B27" s="16">
        <v>14.83</v>
      </c>
      <c r="C27" s="16">
        <v>0.84</v>
      </c>
      <c r="D27" s="16">
        <v>1.61</v>
      </c>
      <c r="E27" s="16">
        <v>23.4</v>
      </c>
      <c r="F27" s="18">
        <v>9.5999999999999992E-3</v>
      </c>
      <c r="G27" s="18">
        <v>1.1599999999999999E-2</v>
      </c>
      <c r="H27" s="13">
        <f t="shared" si="0"/>
        <v>200.01804059829064</v>
      </c>
      <c r="I27" s="13">
        <f t="shared" si="1"/>
        <v>11.329410256410258</v>
      </c>
      <c r="J27" s="13">
        <f t="shared" si="2"/>
        <v>21.714702991452995</v>
      </c>
      <c r="K27" s="13">
        <f t="shared" si="9"/>
        <v>18.853507876720151</v>
      </c>
      <c r="L27" s="13">
        <f t="shared" si="10"/>
        <v>10.609062350952101</v>
      </c>
      <c r="M27" s="14">
        <f t="shared" si="3"/>
        <v>3.0243261012491727E-2</v>
      </c>
      <c r="N27" s="14">
        <f t="shared" si="8"/>
        <v>-5.3408969582539607E-2</v>
      </c>
      <c r="O27" s="15">
        <f t="shared" si="4"/>
        <v>9.8449089683074809E-2</v>
      </c>
      <c r="P27" s="15">
        <f t="shared" si="5"/>
        <v>6.6543929401823437E-2</v>
      </c>
      <c r="Q27" s="14">
        <f t="shared" si="6"/>
        <v>0.18972297443072517</v>
      </c>
      <c r="R27" s="14">
        <f t="shared" si="7"/>
        <v>0.1587420497509433</v>
      </c>
      <c r="T27" s="13">
        <f t="shared" si="11"/>
        <v>11.653851921728972</v>
      </c>
      <c r="U27">
        <f t="shared" si="12"/>
        <v>0.8</v>
      </c>
      <c r="V27" s="19">
        <f t="shared" si="13"/>
        <v>0.19999999999999996</v>
      </c>
      <c r="W27" s="20">
        <f t="shared" si="14"/>
        <v>2.6114608809993382E-2</v>
      </c>
      <c r="X27" s="21">
        <f t="shared" si="15"/>
        <v>2.1985956607495034E-2</v>
      </c>
    </row>
    <row r="28" spans="1:24" ht="17.25" customHeight="1">
      <c r="A28" s="22">
        <v>1948</v>
      </c>
      <c r="B28" s="16">
        <v>15.36</v>
      </c>
      <c r="C28" s="16">
        <v>0.93</v>
      </c>
      <c r="D28" s="16">
        <v>2.29</v>
      </c>
      <c r="E28" s="16">
        <v>24.1</v>
      </c>
      <c r="F28" s="18">
        <v>1.0699999999999999E-2</v>
      </c>
      <c r="G28" s="18">
        <v>1.44E-2</v>
      </c>
      <c r="H28" s="13">
        <f t="shared" si="0"/>
        <v>201.14907883817426</v>
      </c>
      <c r="I28" s="13">
        <f t="shared" si="1"/>
        <v>12.178948132780084</v>
      </c>
      <c r="J28" s="13">
        <f t="shared" si="2"/>
        <v>29.989022821576764</v>
      </c>
      <c r="K28" s="13">
        <f t="shared" si="9"/>
        <v>20.409644444592111</v>
      </c>
      <c r="L28" s="13">
        <f t="shared" si="10"/>
        <v>9.8555895662098223</v>
      </c>
      <c r="M28" s="14">
        <f t="shared" si="3"/>
        <v>9.8449089683074809E-2</v>
      </c>
      <c r="N28" s="14">
        <f t="shared" si="8"/>
        <v>6.6543929401823437E-2</v>
      </c>
      <c r="O28" s="15">
        <f t="shared" si="4"/>
        <v>0.17317708333333329</v>
      </c>
      <c r="P28" s="15">
        <f t="shared" si="5"/>
        <v>0.19803253001412438</v>
      </c>
      <c r="Q28" s="14">
        <f t="shared" si="6"/>
        <v>0.17402858910210428</v>
      </c>
      <c r="R28" s="14">
        <f t="shared" si="7"/>
        <v>0.14850165454852715</v>
      </c>
      <c r="T28" s="13">
        <f t="shared" si="11"/>
        <v>10.609062350952101</v>
      </c>
      <c r="U28">
        <f t="shared" si="12"/>
        <v>0.8</v>
      </c>
      <c r="V28" s="19">
        <f t="shared" si="13"/>
        <v>0.19999999999999996</v>
      </c>
      <c r="W28" s="20">
        <f t="shared" si="14"/>
        <v>8.0899271746459861E-2</v>
      </c>
      <c r="X28" s="21">
        <f t="shared" si="15"/>
        <v>6.3349453809844886E-2</v>
      </c>
    </row>
    <row r="29" spans="1:24" ht="17.25" customHeight="1">
      <c r="A29" s="22">
        <v>1949</v>
      </c>
      <c r="B29" s="16">
        <v>16.88</v>
      </c>
      <c r="C29" s="16">
        <v>1.1399999999999999</v>
      </c>
      <c r="D29" s="16">
        <v>2.3199999999999998</v>
      </c>
      <c r="E29" s="16">
        <v>23.6</v>
      </c>
      <c r="F29" s="18">
        <v>1.2800000000000001E-2</v>
      </c>
      <c r="G29" s="18">
        <v>1.5699999999999999E-2</v>
      </c>
      <c r="H29" s="13">
        <f t="shared" si="0"/>
        <v>225.73781355932203</v>
      </c>
      <c r="I29" s="13">
        <f t="shared" si="1"/>
        <v>15.245326271186441</v>
      </c>
      <c r="J29" s="13">
        <f t="shared" si="2"/>
        <v>31.025576271186438</v>
      </c>
      <c r="K29" s="13">
        <f t="shared" si="9"/>
        <v>21.483312785996468</v>
      </c>
      <c r="L29" s="13">
        <f t="shared" si="10"/>
        <v>10.507588648360851</v>
      </c>
      <c r="M29" s="14">
        <f t="shared" si="3"/>
        <v>0.17317708333333329</v>
      </c>
      <c r="N29" s="14">
        <f t="shared" si="8"/>
        <v>0.19803253001412438</v>
      </c>
      <c r="O29" s="15">
        <f t="shared" si="4"/>
        <v>0.34360189573459726</v>
      </c>
      <c r="P29" s="15">
        <f t="shared" si="5"/>
        <v>0.26836018957345992</v>
      </c>
      <c r="Q29" s="14">
        <f t="shared" si="6"/>
        <v>0.22631674507676336</v>
      </c>
      <c r="R29" s="14">
        <f t="shared" si="7"/>
        <v>0.19641763770224419</v>
      </c>
      <c r="T29" s="13">
        <f t="shared" si="11"/>
        <v>9.8555895662098223</v>
      </c>
      <c r="U29">
        <f t="shared" si="12"/>
        <v>0.8</v>
      </c>
      <c r="V29" s="19">
        <f t="shared" si="13"/>
        <v>0.19999999999999996</v>
      </c>
      <c r="W29" s="20">
        <f t="shared" si="14"/>
        <v>0.14110166666666665</v>
      </c>
      <c r="X29" s="21">
        <f t="shared" si="15"/>
        <v>0.10902624999999996</v>
      </c>
    </row>
    <row r="30" spans="1:24" ht="17.25" customHeight="1">
      <c r="A30" s="22">
        <v>1950</v>
      </c>
      <c r="B30" s="16">
        <v>21.21</v>
      </c>
      <c r="C30" s="16">
        <v>1.47</v>
      </c>
      <c r="D30" s="16">
        <v>2.84</v>
      </c>
      <c r="E30" s="16">
        <v>25</v>
      </c>
      <c r="F30" s="18">
        <v>1.0500000000000001E-2</v>
      </c>
      <c r="G30" s="18">
        <v>1.26E-2</v>
      </c>
      <c r="H30" s="13">
        <f t="shared" si="0"/>
        <v>267.75928200000004</v>
      </c>
      <c r="I30" s="13">
        <f t="shared" si="1"/>
        <v>18.557573999999999</v>
      </c>
      <c r="J30" s="13">
        <f t="shared" si="2"/>
        <v>35.852727999999999</v>
      </c>
      <c r="K30" s="13">
        <f t="shared" si="9"/>
        <v>22.718335585996464</v>
      </c>
      <c r="L30" s="13">
        <f t="shared" si="10"/>
        <v>11.786043083413484</v>
      </c>
      <c r="M30" s="14">
        <f t="shared" si="3"/>
        <v>0.34360189573459726</v>
      </c>
      <c r="N30" s="14">
        <f t="shared" si="8"/>
        <v>0.26836018957345992</v>
      </c>
      <c r="O30" s="15">
        <f t="shared" si="4"/>
        <v>0.206977840641207</v>
      </c>
      <c r="P30" s="15">
        <f t="shared" si="5"/>
        <v>0.13865834022755369</v>
      </c>
      <c r="Q30" s="14">
        <f t="shared" si="6"/>
        <v>0.21566150898989012</v>
      </c>
      <c r="R30" s="14">
        <f t="shared" si="7"/>
        <v>0.19887446156163557</v>
      </c>
      <c r="T30" s="13">
        <f t="shared" si="11"/>
        <v>10.507588648360851</v>
      </c>
      <c r="U30">
        <f t="shared" si="12"/>
        <v>0.8</v>
      </c>
      <c r="V30" s="19">
        <f t="shared" si="13"/>
        <v>0.19999999999999996</v>
      </c>
      <c r="W30" s="20">
        <f t="shared" si="14"/>
        <v>0.27698151658767783</v>
      </c>
      <c r="X30" s="21">
        <f t="shared" si="15"/>
        <v>0.21036113744075835</v>
      </c>
    </row>
    <row r="31" spans="1:24" ht="17.25" customHeight="1">
      <c r="A31" s="22">
        <v>1951</v>
      </c>
      <c r="B31" s="16">
        <v>24.19</v>
      </c>
      <c r="C31" s="16">
        <v>1.41</v>
      </c>
      <c r="D31" s="16">
        <v>2.44</v>
      </c>
      <c r="E31" s="16">
        <v>26.5</v>
      </c>
      <c r="F31" s="18">
        <v>1.47E-2</v>
      </c>
      <c r="G31" s="18">
        <v>1.4999999999999999E-2</v>
      </c>
      <c r="H31" s="13">
        <f t="shared" si="0"/>
        <v>288.09377169811324</v>
      </c>
      <c r="I31" s="13">
        <f t="shared" si="1"/>
        <v>16.792567924528303</v>
      </c>
      <c r="J31" s="13">
        <f t="shared" si="2"/>
        <v>29.059479245283022</v>
      </c>
      <c r="K31" s="13">
        <f t="shared" si="9"/>
        <v>23.262336413750578</v>
      </c>
      <c r="L31" s="13">
        <f t="shared" si="10"/>
        <v>12.38455873795284</v>
      </c>
      <c r="M31" s="14">
        <f t="shared" si="3"/>
        <v>0.206977840641207</v>
      </c>
      <c r="N31" s="14">
        <f t="shared" si="8"/>
        <v>0.13865834022755369</v>
      </c>
      <c r="O31" s="15">
        <f t="shared" si="4"/>
        <v>0.14055394791236042</v>
      </c>
      <c r="P31" s="15">
        <f t="shared" si="5"/>
        <v>0.13201047264709925</v>
      </c>
      <c r="Q31" s="14">
        <f t="shared" si="6"/>
        <v>0.18636913751258333</v>
      </c>
      <c r="R31" s="14">
        <f t="shared" si="7"/>
        <v>0.17675810630337208</v>
      </c>
      <c r="T31" s="13">
        <f t="shared" si="11"/>
        <v>11.786043083413484</v>
      </c>
      <c r="U31">
        <f t="shared" si="12"/>
        <v>0.8</v>
      </c>
      <c r="V31" s="19">
        <f t="shared" si="13"/>
        <v>0.19999999999999996</v>
      </c>
      <c r="W31" s="20">
        <f t="shared" si="14"/>
        <v>0.16852227251296562</v>
      </c>
      <c r="X31" s="21">
        <f t="shared" si="15"/>
        <v>0.1300667043847242</v>
      </c>
    </row>
    <row r="32" spans="1:24" ht="17.25" customHeight="1">
      <c r="A32" s="22">
        <v>1952</v>
      </c>
      <c r="B32" s="16">
        <v>26.18</v>
      </c>
      <c r="C32" s="16">
        <v>1.41</v>
      </c>
      <c r="D32" s="16">
        <v>2.4</v>
      </c>
      <c r="E32" s="16">
        <v>26.7</v>
      </c>
      <c r="F32" s="18">
        <v>1.78E-2</v>
      </c>
      <c r="G32" s="18">
        <v>2.1600000000000001E-2</v>
      </c>
      <c r="H32" s="13">
        <f t="shared" si="0"/>
        <v>309.45838576779028</v>
      </c>
      <c r="I32" s="13">
        <f t="shared" si="1"/>
        <v>16.666780898876404</v>
      </c>
      <c r="J32" s="13">
        <f t="shared" si="2"/>
        <v>28.368988764044946</v>
      </c>
      <c r="K32" s="13">
        <f t="shared" si="9"/>
        <v>24.175725526841465</v>
      </c>
      <c r="L32" s="13">
        <f t="shared" si="10"/>
        <v>12.800376370264852</v>
      </c>
      <c r="M32" s="14">
        <f t="shared" si="3"/>
        <v>0.14055394791236042</v>
      </c>
      <c r="N32" s="14">
        <f t="shared" si="8"/>
        <v>0.13201047264709925</v>
      </c>
      <c r="O32" s="15">
        <f t="shared" si="4"/>
        <v>2.7883880825057338E-2</v>
      </c>
      <c r="P32" s="15">
        <f t="shared" si="5"/>
        <v>2.0241621488068164E-2</v>
      </c>
      <c r="Q32" s="14">
        <f t="shared" si="6"/>
        <v>0.14245691174735509</v>
      </c>
      <c r="R32" s="14">
        <f t="shared" si="7"/>
        <v>0.12843984785941909</v>
      </c>
      <c r="T32" s="13">
        <f t="shared" si="11"/>
        <v>12.38455873795284</v>
      </c>
      <c r="U32">
        <f t="shared" si="12"/>
        <v>0.8</v>
      </c>
      <c r="V32" s="19">
        <f t="shared" si="13"/>
        <v>0.19999999999999996</v>
      </c>
      <c r="W32" s="20">
        <f t="shared" si="14"/>
        <v>0.11600315832988833</v>
      </c>
      <c r="X32" s="21">
        <f t="shared" si="15"/>
        <v>9.1452368747416246E-2</v>
      </c>
    </row>
    <row r="33" spans="1:24" ht="17.25" customHeight="1">
      <c r="A33" s="22">
        <v>1953</v>
      </c>
      <c r="B33" s="16">
        <v>25.46</v>
      </c>
      <c r="C33" s="16">
        <v>1.45</v>
      </c>
      <c r="D33" s="16">
        <v>2.5099999999999998</v>
      </c>
      <c r="E33" s="16">
        <v>26.9</v>
      </c>
      <c r="F33" s="18">
        <v>1.95E-2</v>
      </c>
      <c r="G33" s="18">
        <v>2.3599999999999999E-2</v>
      </c>
      <c r="H33" s="13">
        <f t="shared" si="0"/>
        <v>298.71015985130117</v>
      </c>
      <c r="I33" s="13">
        <f t="shared" si="1"/>
        <v>17.012165427509295</v>
      </c>
      <c r="J33" s="13">
        <f t="shared" si="2"/>
        <v>29.448644981412638</v>
      </c>
      <c r="K33" s="13">
        <f t="shared" si="9"/>
        <v>25.415597496247091</v>
      </c>
      <c r="L33" s="13">
        <f t="shared" si="10"/>
        <v>11.753025278882749</v>
      </c>
      <c r="M33" s="14">
        <f t="shared" si="3"/>
        <v>2.7883880825057338E-2</v>
      </c>
      <c r="N33" s="14">
        <f t="shared" si="8"/>
        <v>2.0241621488068164E-2</v>
      </c>
      <c r="O33" s="15">
        <f t="shared" si="4"/>
        <v>0.45875883739198742</v>
      </c>
      <c r="P33" s="15">
        <f t="shared" si="5"/>
        <v>0.46968586988181499</v>
      </c>
      <c r="Q33" s="14">
        <f t="shared" si="6"/>
        <v>0.21444364638234603</v>
      </c>
      <c r="R33" s="14">
        <f t="shared" si="7"/>
        <v>0.19714913086964669</v>
      </c>
      <c r="T33" s="13">
        <f t="shared" si="11"/>
        <v>12.800376370264852</v>
      </c>
      <c r="U33">
        <f t="shared" si="12"/>
        <v>0.8</v>
      </c>
      <c r="V33" s="19">
        <f t="shared" si="13"/>
        <v>0.19999999999999996</v>
      </c>
      <c r="W33" s="20">
        <f t="shared" si="14"/>
        <v>2.6207104660045874E-2</v>
      </c>
      <c r="X33" s="21">
        <f t="shared" si="15"/>
        <v>2.4530328495034403E-2</v>
      </c>
    </row>
    <row r="34" spans="1:24" ht="17.25" customHeight="1">
      <c r="A34" s="22">
        <v>1954</v>
      </c>
      <c r="B34" s="16">
        <v>35.6</v>
      </c>
      <c r="C34" s="16">
        <v>1.54</v>
      </c>
      <c r="D34" s="16">
        <v>2.77</v>
      </c>
      <c r="E34" s="16">
        <v>26.7</v>
      </c>
      <c r="F34" s="18">
        <v>1.54E-2</v>
      </c>
      <c r="G34" s="18">
        <v>2.1899999999999999E-2</v>
      </c>
      <c r="H34" s="13">
        <f t="shared" si="0"/>
        <v>420.80666666666673</v>
      </c>
      <c r="I34" s="13">
        <f t="shared" si="1"/>
        <v>18.203434456928839</v>
      </c>
      <c r="J34" s="13">
        <f t="shared" si="2"/>
        <v>32.742541198501875</v>
      </c>
      <c r="K34" s="13">
        <f t="shared" si="9"/>
        <v>27.04090414418717</v>
      </c>
      <c r="L34" s="13">
        <f t="shared" si="10"/>
        <v>15.56185637961093</v>
      </c>
      <c r="M34" s="14">
        <f t="shared" si="3"/>
        <v>0.45875883739198742</v>
      </c>
      <c r="N34" s="14">
        <f t="shared" si="8"/>
        <v>0.46968586988181499</v>
      </c>
      <c r="O34" s="15">
        <f t="shared" si="4"/>
        <v>0.28623595505617971</v>
      </c>
      <c r="P34" s="15">
        <f t="shared" si="5"/>
        <v>0.28143656716417892</v>
      </c>
      <c r="Q34" s="14">
        <f t="shared" si="6"/>
        <v>0.14277784646591019</v>
      </c>
      <c r="R34" s="14">
        <f t="shared" si="7"/>
        <v>0.12097157179742202</v>
      </c>
      <c r="T34" s="13">
        <f t="shared" si="11"/>
        <v>11.753025278882749</v>
      </c>
      <c r="U34">
        <f t="shared" si="12"/>
        <v>0.8</v>
      </c>
      <c r="V34" s="19">
        <f t="shared" si="13"/>
        <v>0.19999999999999996</v>
      </c>
      <c r="W34" s="20">
        <f t="shared" si="14"/>
        <v>0.37008706991358997</v>
      </c>
      <c r="X34" s="21">
        <f t="shared" si="15"/>
        <v>0.28141530243519242</v>
      </c>
    </row>
    <row r="35" spans="1:24" ht="17.25" customHeight="1">
      <c r="A35" s="22">
        <v>1955</v>
      </c>
      <c r="B35" s="16">
        <v>44.15</v>
      </c>
      <c r="C35" s="16">
        <v>1.64</v>
      </c>
      <c r="D35" s="16">
        <v>3.62</v>
      </c>
      <c r="E35" s="16">
        <v>26.8</v>
      </c>
      <c r="F35" s="18">
        <v>1.21E-2</v>
      </c>
      <c r="G35" s="18">
        <v>2.1600000000000001E-2</v>
      </c>
      <c r="H35" s="13">
        <f t="shared" ref="H35:H66" si="16">B35 / E35 * $E$104</f>
        <v>519.92390858208955</v>
      </c>
      <c r="I35" s="13">
        <f t="shared" ref="I35:I66" si="17">C35 / E35 * $E$104</f>
        <v>19.313141791044774</v>
      </c>
      <c r="J35" s="13">
        <f t="shared" ref="J35:J66" si="18">D35 / E35 * $E$104</f>
        <v>42.630227611940306</v>
      </c>
      <c r="K35" s="13">
        <f t="shared" si="9"/>
        <v>29.639197235051522</v>
      </c>
      <c r="L35" s="13">
        <f t="shared" si="10"/>
        <v>17.541767560668745</v>
      </c>
      <c r="M35" s="14">
        <f t="shared" ref="M35:M66" si="19">(B35-B34+C35)/B34</f>
        <v>0.28623595505617971</v>
      </c>
      <c r="N35" s="14">
        <f t="shared" si="8"/>
        <v>0.28143656716417892</v>
      </c>
      <c r="O35" s="15">
        <f t="shared" ref="O35:O66" si="20">M36</f>
        <v>6.8403171007927546E-2</v>
      </c>
      <c r="P35" s="15">
        <f t="shared" ref="P35:P66" si="21">N36</f>
        <v>3.7434963152625213E-2</v>
      </c>
      <c r="Q35" s="14">
        <f t="shared" ref="Q35:Q66" si="22">((1+M36)*(1+M37)*(1+M38)*(1+M39)*(1+M40))^(1/5)-1</f>
        <v>9.9972833050980814E-2</v>
      </c>
      <c r="R35" s="14">
        <f t="shared" ref="R35:R66" si="23">((1+N36)*(1+N37)*(1+N38)*(1+N39)*(1+N40))^(1/5)-1</f>
        <v>7.6875918331388293E-2</v>
      </c>
      <c r="T35" s="13">
        <f t="shared" si="11"/>
        <v>15.56185637961093</v>
      </c>
      <c r="U35">
        <f t="shared" si="12"/>
        <v>0.6</v>
      </c>
      <c r="V35" s="19">
        <f t="shared" si="13"/>
        <v>0.4</v>
      </c>
      <c r="W35" s="20">
        <f t="shared" si="14"/>
        <v>0.17658157303370783</v>
      </c>
      <c r="X35" s="21">
        <f t="shared" si="15"/>
        <v>0.17658157303370783</v>
      </c>
    </row>
    <row r="36" spans="1:24" ht="17.25" customHeight="1">
      <c r="A36" s="22">
        <v>1956</v>
      </c>
      <c r="B36" s="16">
        <v>45.43</v>
      </c>
      <c r="C36" s="16">
        <v>1.74</v>
      </c>
      <c r="D36" s="16">
        <v>3.41</v>
      </c>
      <c r="E36" s="16">
        <v>27.6</v>
      </c>
      <c r="F36" s="18">
        <v>2.7300000000000001E-2</v>
      </c>
      <c r="G36" s="18">
        <v>2.93E-2</v>
      </c>
      <c r="H36" s="13">
        <f t="shared" si="16"/>
        <v>519.49040398550721</v>
      </c>
      <c r="I36" s="13">
        <f t="shared" si="17"/>
        <v>19.896836956521739</v>
      </c>
      <c r="J36" s="13">
        <f t="shared" si="18"/>
        <v>38.993226449275362</v>
      </c>
      <c r="K36" s="13">
        <f t="shared" si="9"/>
        <v>31.982513833467436</v>
      </c>
      <c r="L36" s="13">
        <f t="shared" si="10"/>
        <v>16.242950966596542</v>
      </c>
      <c r="M36" s="14">
        <f t="shared" si="19"/>
        <v>6.8403171007927546E-2</v>
      </c>
      <c r="N36" s="14">
        <f t="shared" ref="N36:N67" si="24">(H36-H35+I36)/H35</f>
        <v>3.7434963152625213E-2</v>
      </c>
      <c r="O36" s="15">
        <f t="shared" si="20"/>
        <v>-5.546995377503857E-2</v>
      </c>
      <c r="P36" s="15">
        <f t="shared" si="21"/>
        <v>-8.2076433950389396E-2</v>
      </c>
      <c r="Q36" s="14">
        <f t="shared" si="22"/>
        <v>0.12401645346430912</v>
      </c>
      <c r="R36" s="14">
        <f t="shared" si="23"/>
        <v>0.10542742252075765</v>
      </c>
      <c r="T36" s="13">
        <f t="shared" si="11"/>
        <v>17.541767560668745</v>
      </c>
      <c r="U36">
        <f t="shared" si="12"/>
        <v>0.6</v>
      </c>
      <c r="V36" s="19">
        <f t="shared" si="13"/>
        <v>0.4</v>
      </c>
      <c r="W36" s="20">
        <f t="shared" si="14"/>
        <v>5.1961902604756527E-2</v>
      </c>
      <c r="X36" s="21">
        <f t="shared" si="15"/>
        <v>5.1961902604756527E-2</v>
      </c>
    </row>
    <row r="37" spans="1:24" ht="17.25" customHeight="1">
      <c r="A37" s="22">
        <v>1957</v>
      </c>
      <c r="B37" s="16">
        <v>41.12</v>
      </c>
      <c r="C37" s="16">
        <v>1.79</v>
      </c>
      <c r="D37" s="16">
        <v>3.37</v>
      </c>
      <c r="E37" s="16">
        <v>28.4</v>
      </c>
      <c r="F37" s="18">
        <v>3.6799999999999999E-2</v>
      </c>
      <c r="G37" s="18">
        <v>3.6999999999999998E-2</v>
      </c>
      <c r="H37" s="13">
        <f t="shared" si="16"/>
        <v>456.96047887323948</v>
      </c>
      <c r="I37" s="13">
        <f t="shared" si="17"/>
        <v>19.892005281690142</v>
      </c>
      <c r="J37" s="13">
        <f t="shared" si="18"/>
        <v>37.450311619718313</v>
      </c>
      <c r="K37" s="13">
        <f t="shared" si="9"/>
        <v>33.556074696293969</v>
      </c>
      <c r="L37" s="13">
        <f t="shared" si="10"/>
        <v>13.617816833734356</v>
      </c>
      <c r="M37" s="14">
        <f t="shared" si="19"/>
        <v>-5.546995377503857E-2</v>
      </c>
      <c r="N37" s="14">
        <f t="shared" si="24"/>
        <v>-8.2076433950389396E-2</v>
      </c>
      <c r="O37" s="15">
        <f t="shared" si="20"/>
        <v>0.39518482490272377</v>
      </c>
      <c r="P37" s="15">
        <f t="shared" si="21"/>
        <v>0.37104667914316092</v>
      </c>
      <c r="Q37" s="14">
        <f t="shared" si="22"/>
        <v>0.13066135857910588</v>
      </c>
      <c r="R37" s="14">
        <f t="shared" si="23"/>
        <v>0.11537652885719596</v>
      </c>
      <c r="T37" s="13">
        <f t="shared" si="11"/>
        <v>16.242950966596542</v>
      </c>
      <c r="U37">
        <f t="shared" si="12"/>
        <v>0.6</v>
      </c>
      <c r="V37" s="19">
        <f t="shared" si="13"/>
        <v>0.4</v>
      </c>
      <c r="W37" s="20">
        <f t="shared" si="14"/>
        <v>-1.8561972265023142E-2</v>
      </c>
      <c r="X37" s="21">
        <f t="shared" si="15"/>
        <v>-1.8561972265023142E-2</v>
      </c>
    </row>
    <row r="38" spans="1:24" ht="17.25" customHeight="1">
      <c r="A38" s="22">
        <v>1958</v>
      </c>
      <c r="B38" s="16">
        <v>55.62</v>
      </c>
      <c r="C38" s="16">
        <v>1.75</v>
      </c>
      <c r="D38" s="16">
        <v>2.89</v>
      </c>
      <c r="E38" s="16">
        <v>28.9</v>
      </c>
      <c r="F38" s="18">
        <v>3.1800000000000002E-2</v>
      </c>
      <c r="G38" s="18">
        <v>3.0800000000000001E-2</v>
      </c>
      <c r="H38" s="13">
        <f t="shared" si="16"/>
        <v>607.40311764705882</v>
      </c>
      <c r="I38" s="13">
        <f t="shared" si="17"/>
        <v>19.111029411764708</v>
      </c>
      <c r="J38" s="13">
        <f t="shared" si="18"/>
        <v>31.560500000000005</v>
      </c>
      <c r="K38" s="13">
        <f t="shared" si="9"/>
        <v>33.71322241413629</v>
      </c>
      <c r="L38" s="13">
        <f t="shared" si="10"/>
        <v>18.016762390306798</v>
      </c>
      <c r="M38" s="14">
        <f t="shared" si="19"/>
        <v>0.39518482490272377</v>
      </c>
      <c r="N38" s="14">
        <f t="shared" si="24"/>
        <v>0.37104667914316092</v>
      </c>
      <c r="O38" s="15">
        <f t="shared" si="20"/>
        <v>7.6231571377202517E-2</v>
      </c>
      <c r="P38" s="15">
        <f t="shared" si="21"/>
        <v>5.7928313360583565E-2</v>
      </c>
      <c r="Q38" s="14">
        <f t="shared" si="22"/>
        <v>9.8933568461258448E-2</v>
      </c>
      <c r="R38" s="14">
        <f t="shared" si="23"/>
        <v>8.432460421872201E-2</v>
      </c>
      <c r="T38" s="13">
        <f t="shared" si="11"/>
        <v>13.617816833734356</v>
      </c>
      <c r="U38">
        <f t="shared" si="12"/>
        <v>0.8</v>
      </c>
      <c r="V38" s="19">
        <f t="shared" si="13"/>
        <v>0.19999999999999996</v>
      </c>
      <c r="W38" s="20">
        <f t="shared" si="14"/>
        <v>0.32250785992217901</v>
      </c>
      <c r="X38" s="21">
        <f t="shared" si="15"/>
        <v>0.24983089494163427</v>
      </c>
    </row>
    <row r="39" spans="1:24" ht="17.25" customHeight="1">
      <c r="A39" s="22">
        <v>1959</v>
      </c>
      <c r="B39" s="16">
        <v>58.03</v>
      </c>
      <c r="C39" s="16">
        <v>1.83</v>
      </c>
      <c r="D39" s="16">
        <v>3.39</v>
      </c>
      <c r="E39" s="16">
        <v>29.4</v>
      </c>
      <c r="F39" s="18">
        <v>3.2899999999999999E-2</v>
      </c>
      <c r="G39" s="18">
        <v>3.8199999999999998E-2</v>
      </c>
      <c r="H39" s="13">
        <f t="shared" si="16"/>
        <v>622.94415476190488</v>
      </c>
      <c r="I39" s="13">
        <f t="shared" si="17"/>
        <v>19.644801020408167</v>
      </c>
      <c r="J39" s="13">
        <f t="shared" si="18"/>
        <v>36.391188775510209</v>
      </c>
      <c r="K39" s="13">
        <f t="shared" si="9"/>
        <v>34.249783664568668</v>
      </c>
      <c r="L39" s="13">
        <f t="shared" si="10"/>
        <v>18.188265387683</v>
      </c>
      <c r="M39" s="14">
        <f t="shared" si="19"/>
        <v>7.6231571377202517E-2</v>
      </c>
      <c r="N39" s="14">
        <f t="shared" si="24"/>
        <v>5.7928313360583565E-2</v>
      </c>
      <c r="O39" s="15">
        <f t="shared" si="20"/>
        <v>6.272617611580214E-2</v>
      </c>
      <c r="P39" s="15">
        <f t="shared" si="21"/>
        <v>4.8461395228341475E-2</v>
      </c>
      <c r="Q39" s="14">
        <f t="shared" si="22"/>
        <v>0.11537561462957391</v>
      </c>
      <c r="R39" s="14">
        <f t="shared" si="23"/>
        <v>0.10219818768579891</v>
      </c>
      <c r="T39" s="13">
        <f t="shared" si="11"/>
        <v>18.016762390306798</v>
      </c>
      <c r="U39">
        <f t="shared" si="12"/>
        <v>0.6</v>
      </c>
      <c r="V39" s="19">
        <f t="shared" si="13"/>
        <v>0.4</v>
      </c>
      <c r="W39" s="20">
        <f t="shared" si="14"/>
        <v>5.8898942826321507E-2</v>
      </c>
      <c r="X39" s="21">
        <f t="shared" si="15"/>
        <v>5.8898942826321507E-2</v>
      </c>
    </row>
    <row r="40" spans="1:24" ht="17.25" customHeight="1">
      <c r="A40" s="22">
        <v>1960</v>
      </c>
      <c r="B40" s="16">
        <v>59.72</v>
      </c>
      <c r="C40" s="16">
        <v>1.95</v>
      </c>
      <c r="D40" s="16">
        <v>3.27</v>
      </c>
      <c r="E40" s="16">
        <v>29.8</v>
      </c>
      <c r="F40" s="18">
        <v>5.1400000000000001E-2</v>
      </c>
      <c r="G40" s="18">
        <v>5.0099999999999999E-2</v>
      </c>
      <c r="H40" s="13">
        <f t="shared" si="16"/>
        <v>632.48089261744963</v>
      </c>
      <c r="I40" s="13">
        <f t="shared" si="17"/>
        <v>20.65200503355705</v>
      </c>
      <c r="J40" s="13">
        <f t="shared" si="18"/>
        <v>34.631823825503353</v>
      </c>
      <c r="K40" s="13">
        <f t="shared" si="9"/>
        <v>34.127693247119012</v>
      </c>
      <c r="L40" s="13">
        <f t="shared" si="10"/>
        <v>18.532775949363128</v>
      </c>
      <c r="M40" s="14">
        <f t="shared" si="19"/>
        <v>6.272617611580214E-2</v>
      </c>
      <c r="N40" s="14">
        <f t="shared" si="24"/>
        <v>4.8461395228341475E-2</v>
      </c>
      <c r="O40" s="15">
        <f t="shared" si="20"/>
        <v>0.19038847957133279</v>
      </c>
      <c r="P40" s="15">
        <f t="shared" si="21"/>
        <v>0.18245255637419061</v>
      </c>
      <c r="Q40" s="14">
        <f t="shared" si="22"/>
        <v>0.12617659112081547</v>
      </c>
      <c r="R40" s="14">
        <f t="shared" si="23"/>
        <v>0.11164040712762446</v>
      </c>
      <c r="T40" s="13">
        <f t="shared" si="11"/>
        <v>18.188265387683</v>
      </c>
      <c r="U40">
        <f t="shared" si="12"/>
        <v>0.6</v>
      </c>
      <c r="V40" s="19">
        <f t="shared" si="13"/>
        <v>0.4</v>
      </c>
      <c r="W40" s="20">
        <f t="shared" si="14"/>
        <v>5.8195705669481283E-2</v>
      </c>
      <c r="X40" s="21">
        <f t="shared" si="15"/>
        <v>5.8195705669481283E-2</v>
      </c>
    </row>
    <row r="41" spans="1:24" ht="17.25" customHeight="1">
      <c r="A41" s="22">
        <v>1961</v>
      </c>
      <c r="B41" s="16">
        <v>69.069999999999993</v>
      </c>
      <c r="C41" s="16">
        <v>2.02</v>
      </c>
      <c r="D41" s="16">
        <v>3.19</v>
      </c>
      <c r="E41" s="16">
        <v>30</v>
      </c>
      <c r="F41" s="18">
        <v>2.86E-2</v>
      </c>
      <c r="G41" s="18">
        <v>3.6700000000000003E-2</v>
      </c>
      <c r="H41" s="13">
        <f t="shared" si="16"/>
        <v>726.62791166666659</v>
      </c>
      <c r="I41" s="13">
        <f t="shared" si="17"/>
        <v>21.250736666666665</v>
      </c>
      <c r="J41" s="13">
        <f t="shared" si="18"/>
        <v>33.559331666666672</v>
      </c>
      <c r="K41" s="13">
        <f t="shared" si="9"/>
        <v>34.577678489257366</v>
      </c>
      <c r="L41" s="13">
        <f t="shared" si="10"/>
        <v>21.014363699761283</v>
      </c>
      <c r="M41" s="14">
        <f t="shared" si="19"/>
        <v>0.19038847957133279</v>
      </c>
      <c r="N41" s="14">
        <f t="shared" si="24"/>
        <v>0.18245255637419061</v>
      </c>
      <c r="O41" s="15">
        <f t="shared" si="20"/>
        <v>-2.7218763573186495E-2</v>
      </c>
      <c r="P41" s="15">
        <f t="shared" si="21"/>
        <v>-4.0018516684065579E-2</v>
      </c>
      <c r="Q41" s="14">
        <f t="shared" si="22"/>
        <v>7.323926243460277E-2</v>
      </c>
      <c r="R41" s="14">
        <f t="shared" si="23"/>
        <v>5.3614220202263363E-2</v>
      </c>
      <c r="T41" s="13">
        <f t="shared" si="11"/>
        <v>18.532775949363128</v>
      </c>
      <c r="U41">
        <f t="shared" si="12"/>
        <v>0.6</v>
      </c>
      <c r="V41" s="19">
        <f t="shared" si="13"/>
        <v>0.4</v>
      </c>
      <c r="W41" s="20">
        <f t="shared" si="14"/>
        <v>0.12567308774279967</v>
      </c>
      <c r="X41" s="21">
        <f t="shared" si="15"/>
        <v>0.12567308774279967</v>
      </c>
    </row>
    <row r="42" spans="1:24" ht="17.25" customHeight="1">
      <c r="A42" s="22">
        <v>1962</v>
      </c>
      <c r="B42" s="16">
        <v>65.06</v>
      </c>
      <c r="C42" s="16">
        <v>2.13</v>
      </c>
      <c r="D42" s="16">
        <v>3.67</v>
      </c>
      <c r="E42" s="16">
        <v>30.4</v>
      </c>
      <c r="F42" s="18">
        <v>3.1800000000000002E-2</v>
      </c>
      <c r="G42" s="18">
        <v>3.9100000000000003E-2</v>
      </c>
      <c r="H42" s="13">
        <f t="shared" si="16"/>
        <v>675.43622697368426</v>
      </c>
      <c r="I42" s="13">
        <f t="shared" si="17"/>
        <v>22.113113486842106</v>
      </c>
      <c r="J42" s="13">
        <f t="shared" si="18"/>
        <v>38.100998355263158</v>
      </c>
      <c r="K42" s="13">
        <f t="shared" si="9"/>
        <v>35.550879448379192</v>
      </c>
      <c r="L42" s="13">
        <f t="shared" si="10"/>
        <v>18.999142565641318</v>
      </c>
      <c r="M42" s="14">
        <f t="shared" si="19"/>
        <v>-2.7218763573186495E-2</v>
      </c>
      <c r="N42" s="14">
        <f t="shared" si="24"/>
        <v>-4.0018516684065579E-2</v>
      </c>
      <c r="O42" s="15">
        <f t="shared" si="20"/>
        <v>0.21011374116200429</v>
      </c>
      <c r="P42" s="15">
        <f t="shared" si="21"/>
        <v>0.19053261266423741</v>
      </c>
      <c r="Q42" s="14">
        <f t="shared" si="22"/>
        <v>0.1116890799303325</v>
      </c>
      <c r="R42" s="14">
        <f t="shared" si="23"/>
        <v>8.772251131575004E-2</v>
      </c>
      <c r="T42" s="13">
        <f t="shared" si="11"/>
        <v>21.014363699761283</v>
      </c>
      <c r="U42">
        <f t="shared" si="12"/>
        <v>0.6</v>
      </c>
      <c r="V42" s="19">
        <f t="shared" si="13"/>
        <v>0.4</v>
      </c>
      <c r="W42" s="20">
        <f t="shared" si="14"/>
        <v>-3.6112581439118954E-3</v>
      </c>
      <c r="X42" s="21">
        <f t="shared" si="15"/>
        <v>-3.6112581439118954E-3</v>
      </c>
    </row>
    <row r="43" spans="1:24" ht="17.25" customHeight="1">
      <c r="A43" s="22">
        <v>1963</v>
      </c>
      <c r="B43" s="16">
        <v>76.45</v>
      </c>
      <c r="C43" s="16">
        <v>2.2799999999999998</v>
      </c>
      <c r="D43" s="16">
        <v>4.0199999999999996</v>
      </c>
      <c r="E43" s="16">
        <v>30.9</v>
      </c>
      <c r="F43" s="18">
        <v>3.0099999999999998E-2</v>
      </c>
      <c r="G43" s="18">
        <v>3.56E-2</v>
      </c>
      <c r="H43" s="13">
        <f t="shared" si="16"/>
        <v>780.84149676375421</v>
      </c>
      <c r="I43" s="13">
        <f t="shared" si="17"/>
        <v>23.287359223300971</v>
      </c>
      <c r="J43" s="13">
        <f t="shared" si="18"/>
        <v>41.059291262135922</v>
      </c>
      <c r="K43" s="13">
        <f t="shared" si="9"/>
        <v>36.711944076451523</v>
      </c>
      <c r="L43" s="13">
        <f t="shared" si="10"/>
        <v>21.269412895641679</v>
      </c>
      <c r="M43" s="14">
        <f t="shared" si="19"/>
        <v>0.21011374116200429</v>
      </c>
      <c r="N43" s="14">
        <f t="shared" si="24"/>
        <v>0.19053261266423741</v>
      </c>
      <c r="O43" s="15">
        <f t="shared" si="20"/>
        <v>0.15918901242642253</v>
      </c>
      <c r="P43" s="15">
        <f t="shared" si="21"/>
        <v>0.14804296423001462</v>
      </c>
      <c r="Q43" s="14">
        <f t="shared" si="22"/>
        <v>9.1856648203516356E-2</v>
      </c>
      <c r="R43" s="14">
        <f t="shared" si="23"/>
        <v>6.1968532165026735E-2</v>
      </c>
      <c r="T43" s="13">
        <f t="shared" si="11"/>
        <v>18.999142565641318</v>
      </c>
      <c r="U43">
        <f t="shared" si="12"/>
        <v>0.6</v>
      </c>
      <c r="V43" s="19">
        <f t="shared" si="13"/>
        <v>0.4</v>
      </c>
      <c r="W43" s="20">
        <f t="shared" si="14"/>
        <v>0.13810824469720256</v>
      </c>
      <c r="X43" s="21">
        <f t="shared" si="15"/>
        <v>0.13810824469720256</v>
      </c>
    </row>
    <row r="44" spans="1:24" ht="17.25" customHeight="1">
      <c r="A44" s="22">
        <v>1964</v>
      </c>
      <c r="B44" s="16">
        <v>86.12</v>
      </c>
      <c r="C44" s="16">
        <v>2.5</v>
      </c>
      <c r="D44" s="16">
        <v>4.55</v>
      </c>
      <c r="E44" s="16">
        <v>31.2</v>
      </c>
      <c r="F44" s="18">
        <v>3.8100000000000002E-2</v>
      </c>
      <c r="G44" s="18">
        <v>4.0399999999999998E-2</v>
      </c>
      <c r="H44" s="13">
        <f t="shared" si="16"/>
        <v>871.15072435897457</v>
      </c>
      <c r="I44" s="13">
        <f t="shared" si="17"/>
        <v>25.288862179487182</v>
      </c>
      <c r="J44" s="13">
        <f t="shared" si="18"/>
        <v>46.025729166666672</v>
      </c>
      <c r="K44" s="13">
        <f t="shared" ref="K44:K75" si="25">AVERAGE(J35:J44)</f>
        <v>38.040262873267991</v>
      </c>
      <c r="L44" s="13">
        <f t="shared" ref="L44:L75" si="26">H44/K44</f>
        <v>22.900754583669237</v>
      </c>
      <c r="M44" s="14">
        <f t="shared" si="19"/>
        <v>0.15918901242642253</v>
      </c>
      <c r="N44" s="14">
        <f t="shared" si="24"/>
        <v>0.14804296423001462</v>
      </c>
      <c r="O44" s="15">
        <f t="shared" si="20"/>
        <v>0.11518810961449127</v>
      </c>
      <c r="P44" s="15">
        <f t="shared" si="21"/>
        <v>9.4146824527425149E-2</v>
      </c>
      <c r="Q44" s="14">
        <f t="shared" si="22"/>
        <v>4.163395900436373E-2</v>
      </c>
      <c r="R44" s="14">
        <f t="shared" si="23"/>
        <v>2.9465272467041892E-3</v>
      </c>
      <c r="T44" s="13">
        <f t="shared" si="11"/>
        <v>21.269412895641679</v>
      </c>
      <c r="U44">
        <f t="shared" si="12"/>
        <v>0.6</v>
      </c>
      <c r="V44" s="19">
        <f t="shared" si="13"/>
        <v>0.4</v>
      </c>
      <c r="W44" s="20">
        <f t="shared" si="14"/>
        <v>0.11075340745585352</v>
      </c>
      <c r="X44" s="21">
        <f t="shared" si="15"/>
        <v>0.11075340745585352</v>
      </c>
    </row>
    <row r="45" spans="1:24" ht="17.25" customHeight="1">
      <c r="A45" s="22">
        <v>1965</v>
      </c>
      <c r="B45" s="16">
        <v>93.32</v>
      </c>
      <c r="C45" s="16">
        <v>2.72</v>
      </c>
      <c r="D45" s="16">
        <v>5.19</v>
      </c>
      <c r="E45" s="16">
        <v>31.8</v>
      </c>
      <c r="F45" s="18">
        <v>4.02E-2</v>
      </c>
      <c r="G45" s="18">
        <v>4.0899999999999999E-2</v>
      </c>
      <c r="H45" s="13">
        <f t="shared" si="16"/>
        <v>926.17165408805022</v>
      </c>
      <c r="I45" s="13">
        <f t="shared" si="17"/>
        <v>26.995144654088055</v>
      </c>
      <c r="J45" s="13">
        <f t="shared" si="18"/>
        <v>51.509117924528312</v>
      </c>
      <c r="K45" s="13">
        <f t="shared" si="25"/>
        <v>38.9281519045268</v>
      </c>
      <c r="L45" s="13">
        <f t="shared" si="26"/>
        <v>23.791821824974676</v>
      </c>
      <c r="M45" s="14">
        <f t="shared" si="19"/>
        <v>0.11518810961449127</v>
      </c>
      <c r="N45" s="14">
        <f t="shared" si="24"/>
        <v>9.4146824527425149E-2</v>
      </c>
      <c r="O45" s="15">
        <f t="shared" si="20"/>
        <v>-6.4294899271324368E-2</v>
      </c>
      <c r="P45" s="15">
        <f t="shared" si="21"/>
        <v>-9.5579872244015568E-2</v>
      </c>
      <c r="Q45" s="14">
        <f t="shared" si="22"/>
        <v>3.3048547918170357E-2</v>
      </c>
      <c r="R45" s="14">
        <f t="shared" si="23"/>
        <v>-1.2289794421462497E-2</v>
      </c>
      <c r="T45" s="13">
        <f t="shared" ref="T45:T76" si="27">L44</f>
        <v>22.900754583669237</v>
      </c>
      <c r="U45">
        <f t="shared" ref="U45:U76" si="28">IF(T45&lt;15,0.8,IF(T45&gt;25,0.3,0.6))</f>
        <v>0.6</v>
      </c>
      <c r="V45" s="19">
        <f t="shared" ref="V45:V76" si="29">1-U45</f>
        <v>0.4</v>
      </c>
      <c r="W45" s="20">
        <f t="shared" ref="W45:W76" si="30">U45*M45+V45*F45</f>
        <v>8.5192865768694753E-2</v>
      </c>
      <c r="X45" s="21">
        <f t="shared" ref="X45:X76" si="31">0.6*M45+0.4*F45</f>
        <v>8.5192865768694753E-2</v>
      </c>
    </row>
    <row r="46" spans="1:24" ht="17.25" customHeight="1">
      <c r="A46" s="22">
        <v>1966</v>
      </c>
      <c r="B46" s="16">
        <v>84.45</v>
      </c>
      <c r="C46" s="16">
        <v>2.87</v>
      </c>
      <c r="D46" s="16">
        <v>5.55</v>
      </c>
      <c r="E46" s="16">
        <v>32.9</v>
      </c>
      <c r="F46" s="18">
        <v>4.7199999999999999E-2</v>
      </c>
      <c r="G46" s="18">
        <v>4.7199999999999999E-2</v>
      </c>
      <c r="H46" s="13">
        <f t="shared" si="16"/>
        <v>810.11678571428581</v>
      </c>
      <c r="I46" s="13">
        <f t="shared" si="17"/>
        <v>27.531500000000001</v>
      </c>
      <c r="J46" s="13">
        <f t="shared" si="18"/>
        <v>53.24035714285715</v>
      </c>
      <c r="K46" s="13">
        <f t="shared" si="25"/>
        <v>40.352864973884977</v>
      </c>
      <c r="L46" s="13">
        <f t="shared" si="26"/>
        <v>20.075818315219163</v>
      </c>
      <c r="M46" s="14">
        <f t="shared" si="19"/>
        <v>-6.4294899271324368E-2</v>
      </c>
      <c r="N46" s="14">
        <f t="shared" si="24"/>
        <v>-9.5579872244015568E-2</v>
      </c>
      <c r="O46" s="15">
        <f t="shared" si="20"/>
        <v>0.15997631734754295</v>
      </c>
      <c r="P46" s="15">
        <f t="shared" si="21"/>
        <v>0.1257587268653145</v>
      </c>
      <c r="Q46" s="14">
        <f t="shared" si="22"/>
        <v>7.4245967469869001E-2</v>
      </c>
      <c r="R46" s="14">
        <f t="shared" si="23"/>
        <v>2.7482768683575243E-2</v>
      </c>
      <c r="T46" s="13">
        <f t="shared" si="27"/>
        <v>23.791821824974676</v>
      </c>
      <c r="U46">
        <f t="shared" si="28"/>
        <v>0.6</v>
      </c>
      <c r="V46" s="19">
        <f t="shared" si="29"/>
        <v>0.4</v>
      </c>
      <c r="W46" s="20">
        <f t="shared" si="30"/>
        <v>-1.969693956279462E-2</v>
      </c>
      <c r="X46" s="21">
        <f t="shared" si="31"/>
        <v>-1.969693956279462E-2</v>
      </c>
    </row>
    <row r="47" spans="1:24" ht="17.25" customHeight="1">
      <c r="A47" s="22">
        <v>1967</v>
      </c>
      <c r="B47" s="16">
        <v>95.04</v>
      </c>
      <c r="C47" s="16">
        <v>2.92</v>
      </c>
      <c r="D47" s="16">
        <v>5.33</v>
      </c>
      <c r="E47" s="16">
        <v>33.9</v>
      </c>
      <c r="F47" s="18">
        <v>5.1999999999999998E-2</v>
      </c>
      <c r="G47" s="18">
        <v>0.05</v>
      </c>
      <c r="H47" s="13">
        <f t="shared" si="16"/>
        <v>884.81118584070805</v>
      </c>
      <c r="I47" s="13">
        <f t="shared" si="17"/>
        <v>27.18485545722714</v>
      </c>
      <c r="J47" s="13">
        <f t="shared" si="18"/>
        <v>49.621671091445435</v>
      </c>
      <c r="K47" s="13">
        <f t="shared" si="25"/>
        <v>41.570000921057684</v>
      </c>
      <c r="L47" s="13">
        <f t="shared" si="26"/>
        <v>21.284848838973648</v>
      </c>
      <c r="M47" s="14">
        <f t="shared" si="19"/>
        <v>0.15997631734754295</v>
      </c>
      <c r="N47" s="14">
        <f t="shared" si="24"/>
        <v>0.1257587268653145</v>
      </c>
      <c r="O47" s="15">
        <f t="shared" si="20"/>
        <v>0.10595538720538721</v>
      </c>
      <c r="P47" s="15">
        <f t="shared" si="21"/>
        <v>5.610951059894731E-2</v>
      </c>
      <c r="Q47" s="14">
        <f t="shared" si="22"/>
        <v>7.7355731959446894E-2</v>
      </c>
      <c r="R47" s="14">
        <f t="shared" si="23"/>
        <v>2.9725055571925507E-2</v>
      </c>
      <c r="T47" s="13">
        <f t="shared" si="27"/>
        <v>20.075818315219163</v>
      </c>
      <c r="U47">
        <f t="shared" si="28"/>
        <v>0.6</v>
      </c>
      <c r="V47" s="19">
        <f t="shared" si="29"/>
        <v>0.4</v>
      </c>
      <c r="W47" s="20">
        <f t="shared" si="30"/>
        <v>0.11678579040852577</v>
      </c>
      <c r="X47" s="21">
        <f t="shared" si="31"/>
        <v>0.11678579040852577</v>
      </c>
    </row>
    <row r="48" spans="1:24" ht="17.25" customHeight="1">
      <c r="A48" s="22">
        <v>1968</v>
      </c>
      <c r="B48" s="16">
        <v>102.04</v>
      </c>
      <c r="C48" s="16">
        <v>3.07</v>
      </c>
      <c r="D48" s="16">
        <v>5.76</v>
      </c>
      <c r="E48" s="16">
        <v>35.5</v>
      </c>
      <c r="F48" s="18">
        <v>5.7099999999999998E-2</v>
      </c>
      <c r="G48" s="18">
        <v>5.7500000000000002E-2</v>
      </c>
      <c r="H48" s="13">
        <f t="shared" si="16"/>
        <v>907.164343661972</v>
      </c>
      <c r="I48" s="13">
        <f t="shared" si="17"/>
        <v>27.293164788732398</v>
      </c>
      <c r="J48" s="13">
        <f t="shared" si="18"/>
        <v>51.208022535211271</v>
      </c>
      <c r="K48" s="13">
        <f t="shared" si="25"/>
        <v>43.534753174578817</v>
      </c>
      <c r="L48" s="13">
        <f t="shared" si="26"/>
        <v>20.837704994539653</v>
      </c>
      <c r="M48" s="14">
        <f t="shared" si="19"/>
        <v>0.10595538720538721</v>
      </c>
      <c r="N48" s="14">
        <f t="shared" si="24"/>
        <v>5.610951059894731E-2</v>
      </c>
      <c r="O48" s="15">
        <f t="shared" si="20"/>
        <v>-8.3986671893375178E-2</v>
      </c>
      <c r="P48" s="15">
        <f t="shared" si="21"/>
        <v>-0.1374410305627275</v>
      </c>
      <c r="Q48" s="14">
        <f t="shared" si="22"/>
        <v>1.9723621670855396E-2</v>
      </c>
      <c r="R48" s="14">
        <f t="shared" si="23"/>
        <v>-3.2614095199838822E-2</v>
      </c>
      <c r="T48" s="13">
        <f t="shared" si="27"/>
        <v>21.284848838973648</v>
      </c>
      <c r="U48">
        <f t="shared" si="28"/>
        <v>0.6</v>
      </c>
      <c r="V48" s="19">
        <f t="shared" si="29"/>
        <v>0.4</v>
      </c>
      <c r="W48" s="20">
        <f t="shared" si="30"/>
        <v>8.6413232323232322E-2</v>
      </c>
      <c r="X48" s="21">
        <f t="shared" si="31"/>
        <v>8.6413232323232322E-2</v>
      </c>
    </row>
    <row r="49" spans="1:24" ht="17.25" customHeight="1">
      <c r="A49" s="22">
        <v>1969</v>
      </c>
      <c r="B49" s="16">
        <v>90.31</v>
      </c>
      <c r="C49" s="16">
        <v>3.16</v>
      </c>
      <c r="D49" s="16">
        <v>5.78</v>
      </c>
      <c r="E49" s="16">
        <v>37.700000000000003</v>
      </c>
      <c r="F49" s="18">
        <v>6.1899999999999997E-2</v>
      </c>
      <c r="G49" s="18">
        <v>6.1199999999999997E-2</v>
      </c>
      <c r="H49" s="13">
        <f t="shared" si="16"/>
        <v>756.02884748010604</v>
      </c>
      <c r="I49" s="13">
        <f t="shared" si="17"/>
        <v>26.453893899204246</v>
      </c>
      <c r="J49" s="13">
        <f t="shared" si="18"/>
        <v>48.387185676392576</v>
      </c>
      <c r="K49" s="13">
        <f t="shared" si="25"/>
        <v>44.734352864667052</v>
      </c>
      <c r="L49" s="13">
        <f t="shared" si="26"/>
        <v>16.90040872542156</v>
      </c>
      <c r="M49" s="14">
        <f t="shared" si="19"/>
        <v>-8.3986671893375178E-2</v>
      </c>
      <c r="N49" s="14">
        <f t="shared" si="24"/>
        <v>-0.1374410305627275</v>
      </c>
      <c r="O49" s="15">
        <f t="shared" si="20"/>
        <v>6.9981175949507174E-2</v>
      </c>
      <c r="P49" s="15">
        <f t="shared" si="21"/>
        <v>1.3524882746141333E-2</v>
      </c>
      <c r="Q49" s="14">
        <f t="shared" si="22"/>
        <v>-9.4103344724163485E-3</v>
      </c>
      <c r="R49" s="14">
        <f t="shared" si="23"/>
        <v>-7.0758512596769907E-2</v>
      </c>
      <c r="T49" s="13">
        <f t="shared" si="27"/>
        <v>20.837704994539653</v>
      </c>
      <c r="U49">
        <f t="shared" si="28"/>
        <v>0.6</v>
      </c>
      <c r="V49" s="19">
        <f t="shared" si="29"/>
        <v>0.4</v>
      </c>
      <c r="W49" s="20">
        <f t="shared" si="30"/>
        <v>-2.5632003136025105E-2</v>
      </c>
      <c r="X49" s="21">
        <f t="shared" si="31"/>
        <v>-2.5632003136025105E-2</v>
      </c>
    </row>
    <row r="50" spans="1:24" ht="17.25" customHeight="1">
      <c r="A50" s="22">
        <v>1970</v>
      </c>
      <c r="B50" s="16">
        <v>93.49</v>
      </c>
      <c r="C50" s="16">
        <v>3.14</v>
      </c>
      <c r="D50" s="16">
        <v>5.13</v>
      </c>
      <c r="E50" s="16">
        <v>39.799999999999997</v>
      </c>
      <c r="F50" s="18">
        <v>8.1699999999999995E-2</v>
      </c>
      <c r="G50" s="18">
        <v>7.9600000000000004E-2</v>
      </c>
      <c r="H50" s="13">
        <f t="shared" si="16"/>
        <v>741.3545590452261</v>
      </c>
      <c r="I50" s="13">
        <f t="shared" si="17"/>
        <v>24.899489949748745</v>
      </c>
      <c r="J50" s="13">
        <f t="shared" si="18"/>
        <v>40.67973994974875</v>
      </c>
      <c r="K50" s="13">
        <f t="shared" si="25"/>
        <v>45.339144477091594</v>
      </c>
      <c r="L50" s="13">
        <f t="shared" si="26"/>
        <v>16.351313364984392</v>
      </c>
      <c r="M50" s="14">
        <f t="shared" si="19"/>
        <v>6.9981175949507174E-2</v>
      </c>
      <c r="N50" s="14">
        <f t="shared" si="24"/>
        <v>1.3524882746141333E-2</v>
      </c>
      <c r="O50" s="15">
        <f t="shared" si="20"/>
        <v>0.13776874532035516</v>
      </c>
      <c r="P50" s="15">
        <f t="shared" si="21"/>
        <v>0.1017809261253074</v>
      </c>
      <c r="Q50" s="14">
        <f t="shared" si="22"/>
        <v>4.3150298682435029E-2</v>
      </c>
      <c r="R50" s="14">
        <f t="shared" si="23"/>
        <v>-2.3966094344471056E-2</v>
      </c>
      <c r="T50" s="13">
        <f t="shared" si="27"/>
        <v>16.90040872542156</v>
      </c>
      <c r="U50">
        <f t="shared" si="28"/>
        <v>0.6</v>
      </c>
      <c r="V50" s="19">
        <f t="shared" si="29"/>
        <v>0.4</v>
      </c>
      <c r="W50" s="20">
        <f t="shared" si="30"/>
        <v>7.4668705569704313E-2</v>
      </c>
      <c r="X50" s="21">
        <f t="shared" si="31"/>
        <v>7.4668705569704313E-2</v>
      </c>
    </row>
    <row r="51" spans="1:24" ht="17.25" customHeight="1">
      <c r="A51" s="22">
        <v>1971</v>
      </c>
      <c r="B51" s="16">
        <v>103.3</v>
      </c>
      <c r="C51" s="16">
        <v>3.07</v>
      </c>
      <c r="D51" s="16">
        <v>5.7</v>
      </c>
      <c r="E51" s="16">
        <v>41.1</v>
      </c>
      <c r="F51" s="18">
        <v>0.05</v>
      </c>
      <c r="G51" s="18">
        <v>5.9499999999999997E-2</v>
      </c>
      <c r="H51" s="13">
        <f t="shared" si="16"/>
        <v>793.23592457420921</v>
      </c>
      <c r="I51" s="13">
        <f t="shared" si="17"/>
        <v>23.574388077858881</v>
      </c>
      <c r="J51" s="13">
        <f t="shared" si="18"/>
        <v>43.770036496350365</v>
      </c>
      <c r="K51" s="13">
        <f t="shared" si="25"/>
        <v>46.360214960059963</v>
      </c>
      <c r="L51" s="13">
        <f t="shared" si="26"/>
        <v>17.110272790098023</v>
      </c>
      <c r="M51" s="14">
        <f t="shared" si="19"/>
        <v>0.13776874532035516</v>
      </c>
      <c r="N51" s="14">
        <f t="shared" si="24"/>
        <v>0.1017809261253074</v>
      </c>
      <c r="O51" s="15">
        <f t="shared" si="20"/>
        <v>0.17686350435624398</v>
      </c>
      <c r="P51" s="15">
        <f t="shared" si="21"/>
        <v>0.1380962359774501</v>
      </c>
      <c r="Q51" s="14">
        <f t="shared" si="22"/>
        <v>3.8674039621895639E-2</v>
      </c>
      <c r="R51" s="14">
        <f t="shared" si="23"/>
        <v>-3.1135497190969308E-2</v>
      </c>
      <c r="T51" s="13">
        <f t="shared" si="27"/>
        <v>16.351313364984392</v>
      </c>
      <c r="U51">
        <f t="shared" si="28"/>
        <v>0.6</v>
      </c>
      <c r="V51" s="19">
        <f t="shared" si="29"/>
        <v>0.4</v>
      </c>
      <c r="W51" s="20">
        <f t="shared" si="30"/>
        <v>0.10266124719221309</v>
      </c>
      <c r="X51" s="21">
        <f t="shared" si="31"/>
        <v>0.10266124719221309</v>
      </c>
    </row>
    <row r="52" spans="1:24" ht="17.25" customHeight="1">
      <c r="A52" s="22">
        <v>1972</v>
      </c>
      <c r="B52" s="16">
        <v>118.42</v>
      </c>
      <c r="C52" s="16">
        <v>3.15</v>
      </c>
      <c r="D52" s="16">
        <v>6.42</v>
      </c>
      <c r="E52" s="16">
        <v>42.5</v>
      </c>
      <c r="F52" s="18">
        <v>4.5999999999999999E-2</v>
      </c>
      <c r="G52" s="18">
        <v>5.6899999999999999E-2</v>
      </c>
      <c r="H52" s="13">
        <f t="shared" si="16"/>
        <v>879.38692000000003</v>
      </c>
      <c r="I52" s="13">
        <f t="shared" si="17"/>
        <v>23.3919</v>
      </c>
      <c r="J52" s="13">
        <f t="shared" si="18"/>
        <v>47.674920000000007</v>
      </c>
      <c r="K52" s="13">
        <f t="shared" si="25"/>
        <v>47.317607124533637</v>
      </c>
      <c r="L52" s="13">
        <f t="shared" si="26"/>
        <v>18.584771577429326</v>
      </c>
      <c r="M52" s="14">
        <f t="shared" si="19"/>
        <v>0.17686350435624398</v>
      </c>
      <c r="N52" s="14">
        <f t="shared" si="24"/>
        <v>0.1380962359774501</v>
      </c>
      <c r="O52" s="15">
        <f t="shared" si="20"/>
        <v>-0.15985475426448237</v>
      </c>
      <c r="P52" s="15">
        <f t="shared" si="21"/>
        <v>-0.22713911377143942</v>
      </c>
      <c r="Q52" s="14">
        <f t="shared" si="22"/>
        <v>-1.2453018780520519E-2</v>
      </c>
      <c r="R52" s="14">
        <f t="shared" si="23"/>
        <v>-8.4586671000937197E-2</v>
      </c>
      <c r="T52" s="13">
        <f t="shared" si="27"/>
        <v>17.110272790098023</v>
      </c>
      <c r="U52">
        <f t="shared" si="28"/>
        <v>0.6</v>
      </c>
      <c r="V52" s="19">
        <f t="shared" si="29"/>
        <v>0.4</v>
      </c>
      <c r="W52" s="20">
        <f t="shared" si="30"/>
        <v>0.12451810261374639</v>
      </c>
      <c r="X52" s="21">
        <f t="shared" si="31"/>
        <v>0.12451810261374639</v>
      </c>
    </row>
    <row r="53" spans="1:24" ht="17.25" customHeight="1">
      <c r="A53" s="22">
        <v>1973</v>
      </c>
      <c r="B53" s="16">
        <v>96.11</v>
      </c>
      <c r="C53" s="16">
        <v>3.38</v>
      </c>
      <c r="D53" s="16">
        <v>8.16</v>
      </c>
      <c r="E53" s="16">
        <v>46.2</v>
      </c>
      <c r="F53" s="18">
        <v>5.5199999999999999E-2</v>
      </c>
      <c r="G53" s="18">
        <v>6.1600000000000002E-2</v>
      </c>
      <c r="H53" s="13">
        <f t="shared" si="16"/>
        <v>656.55403787878788</v>
      </c>
      <c r="I53" s="13">
        <f t="shared" si="17"/>
        <v>23.089716450216446</v>
      </c>
      <c r="J53" s="13">
        <f t="shared" si="18"/>
        <v>55.743220779220785</v>
      </c>
      <c r="K53" s="13">
        <f t="shared" si="25"/>
        <v>48.786000076242132</v>
      </c>
      <c r="L53" s="13">
        <f t="shared" si="26"/>
        <v>13.457837019897791</v>
      </c>
      <c r="M53" s="14">
        <f t="shared" si="19"/>
        <v>-0.15985475426448237</v>
      </c>
      <c r="N53" s="14">
        <f t="shared" si="24"/>
        <v>-0.22713911377143942</v>
      </c>
      <c r="O53" s="15">
        <f t="shared" si="20"/>
        <v>-0.20757465404224321</v>
      </c>
      <c r="P53" s="15">
        <f t="shared" si="21"/>
        <v>-0.29460402729771928</v>
      </c>
      <c r="Q53" s="14">
        <f t="shared" si="22"/>
        <v>5.3545090524394601E-2</v>
      </c>
      <c r="R53" s="14">
        <f t="shared" si="23"/>
        <v>-2.3968601343904772E-2</v>
      </c>
      <c r="T53" s="13">
        <f t="shared" si="27"/>
        <v>18.584771577429326</v>
      </c>
      <c r="U53">
        <f t="shared" si="28"/>
        <v>0.6</v>
      </c>
      <c r="V53" s="19">
        <f t="shared" si="29"/>
        <v>0.4</v>
      </c>
      <c r="W53" s="20">
        <f t="shared" si="30"/>
        <v>-7.3832852558689419E-2</v>
      </c>
      <c r="X53" s="21">
        <f t="shared" si="31"/>
        <v>-7.3832852558689419E-2</v>
      </c>
    </row>
    <row r="54" spans="1:24" ht="17.25" customHeight="1">
      <c r="A54" s="22">
        <v>1974</v>
      </c>
      <c r="B54" s="16">
        <v>72.56</v>
      </c>
      <c r="C54" s="16">
        <v>3.6</v>
      </c>
      <c r="D54" s="16">
        <v>8.89</v>
      </c>
      <c r="E54" s="16">
        <v>51.9</v>
      </c>
      <c r="F54" s="18">
        <v>7.2700000000000001E-2</v>
      </c>
      <c r="G54" s="18">
        <v>6.8000000000000005E-2</v>
      </c>
      <c r="H54" s="13">
        <f t="shared" si="16"/>
        <v>441.23889788053958</v>
      </c>
      <c r="I54" s="13">
        <f t="shared" si="17"/>
        <v>21.891676300578037</v>
      </c>
      <c r="J54" s="13">
        <f t="shared" si="18"/>
        <v>54.060278420038543</v>
      </c>
      <c r="K54" s="13">
        <f t="shared" si="25"/>
        <v>49.58945500157931</v>
      </c>
      <c r="L54" s="13">
        <f t="shared" si="26"/>
        <v>8.8978372088680366</v>
      </c>
      <c r="M54" s="14">
        <f t="shared" si="19"/>
        <v>-0.20757465404224321</v>
      </c>
      <c r="N54" s="14">
        <f t="shared" si="24"/>
        <v>-0.29460402729771928</v>
      </c>
      <c r="O54" s="15">
        <f t="shared" si="20"/>
        <v>0.38561190738699003</v>
      </c>
      <c r="P54" s="15">
        <f t="shared" si="21"/>
        <v>0.29573437825918525</v>
      </c>
      <c r="Q54" s="14">
        <f t="shared" si="22"/>
        <v>0.13865932718214702</v>
      </c>
      <c r="R54" s="14">
        <f t="shared" si="23"/>
        <v>5.3096590604406302E-2</v>
      </c>
      <c r="T54" s="13">
        <f t="shared" si="27"/>
        <v>13.457837019897791</v>
      </c>
      <c r="U54">
        <f t="shared" si="28"/>
        <v>0.8</v>
      </c>
      <c r="V54" s="19">
        <f t="shared" si="29"/>
        <v>0.19999999999999996</v>
      </c>
      <c r="W54" s="20">
        <f t="shared" si="30"/>
        <v>-0.15151972323379459</v>
      </c>
      <c r="X54" s="21">
        <f t="shared" si="31"/>
        <v>-9.5464792425345918E-2</v>
      </c>
    </row>
    <row r="55" spans="1:24" ht="17.25" customHeight="1">
      <c r="A55" s="22">
        <v>1975</v>
      </c>
      <c r="B55" s="16">
        <v>96.86</v>
      </c>
      <c r="C55" s="16">
        <v>3.68</v>
      </c>
      <c r="D55" s="16">
        <v>7.96</v>
      </c>
      <c r="E55" s="16">
        <v>55.5</v>
      </c>
      <c r="F55" s="18">
        <v>7.3099999999999998E-2</v>
      </c>
      <c r="G55" s="18">
        <v>7.3099999999999998E-2</v>
      </c>
      <c r="H55" s="13">
        <f t="shared" si="16"/>
        <v>550.80180720720728</v>
      </c>
      <c r="I55" s="13">
        <f t="shared" si="17"/>
        <v>20.926601801801805</v>
      </c>
      <c r="J55" s="13">
        <f t="shared" si="18"/>
        <v>45.265149549549555</v>
      </c>
      <c r="K55" s="13">
        <f t="shared" si="25"/>
        <v>48.965058164081441</v>
      </c>
      <c r="L55" s="13">
        <f t="shared" si="26"/>
        <v>11.248874766195023</v>
      </c>
      <c r="M55" s="14">
        <f t="shared" si="19"/>
        <v>0.38561190738699003</v>
      </c>
      <c r="N55" s="14">
        <f t="shared" si="24"/>
        <v>0.29573437825918525</v>
      </c>
      <c r="O55" s="15">
        <f t="shared" si="20"/>
        <v>0.11356597150526537</v>
      </c>
      <c r="P55" s="15">
        <f t="shared" si="21"/>
        <v>6.190569447667043E-2</v>
      </c>
      <c r="Q55" s="14">
        <f t="shared" si="22"/>
        <v>0.11631518941677776</v>
      </c>
      <c r="R55" s="14">
        <f t="shared" si="23"/>
        <v>2.1982058567094453E-2</v>
      </c>
      <c r="T55" s="13">
        <f t="shared" si="27"/>
        <v>8.8978372088680366</v>
      </c>
      <c r="U55">
        <f t="shared" si="28"/>
        <v>0.8</v>
      </c>
      <c r="V55" s="19">
        <f t="shared" si="29"/>
        <v>0.19999999999999996</v>
      </c>
      <c r="W55" s="20">
        <f t="shared" si="30"/>
        <v>0.32310952590959208</v>
      </c>
      <c r="X55" s="21">
        <f t="shared" si="31"/>
        <v>0.26060714443219402</v>
      </c>
    </row>
    <row r="56" spans="1:24" ht="17.25" customHeight="1">
      <c r="A56" s="22">
        <v>1976</v>
      </c>
      <c r="B56" s="16">
        <v>103.81</v>
      </c>
      <c r="C56" s="16">
        <v>4.05</v>
      </c>
      <c r="D56" s="16">
        <v>9.91</v>
      </c>
      <c r="E56" s="16">
        <v>58.2</v>
      </c>
      <c r="F56" s="18">
        <v>6.6000000000000003E-2</v>
      </c>
      <c r="G56" s="18">
        <v>7.7600000000000002E-2</v>
      </c>
      <c r="H56" s="13">
        <f t="shared" si="16"/>
        <v>562.93737199312716</v>
      </c>
      <c r="I56" s="13">
        <f t="shared" si="17"/>
        <v>21.962203608247421</v>
      </c>
      <c r="J56" s="13">
        <f t="shared" si="18"/>
        <v>53.739614261168391</v>
      </c>
      <c r="K56" s="13">
        <f t="shared" si="25"/>
        <v>49.014983875912563</v>
      </c>
      <c r="L56" s="13">
        <f t="shared" si="26"/>
        <v>11.485005756979787</v>
      </c>
      <c r="M56" s="14">
        <f t="shared" si="19"/>
        <v>0.11356597150526537</v>
      </c>
      <c r="N56" s="14">
        <f t="shared" si="24"/>
        <v>6.190569447667043E-2</v>
      </c>
      <c r="O56" s="15">
        <f t="shared" si="20"/>
        <v>-8.5637221847606221E-2</v>
      </c>
      <c r="P56" s="15">
        <f t="shared" si="21"/>
        <v>-0.14306097120017197</v>
      </c>
      <c r="Q56" s="14">
        <f t="shared" si="22"/>
        <v>7.7244242252086703E-2</v>
      </c>
      <c r="R56" s="14">
        <f t="shared" si="23"/>
        <v>-2.1246771281970278E-2</v>
      </c>
      <c r="T56" s="13">
        <f t="shared" si="27"/>
        <v>11.248874766195023</v>
      </c>
      <c r="U56">
        <f t="shared" si="28"/>
        <v>0.8</v>
      </c>
      <c r="V56" s="19">
        <f t="shared" si="29"/>
        <v>0.19999999999999996</v>
      </c>
      <c r="W56" s="20">
        <f t="shared" si="30"/>
        <v>0.10405277720421231</v>
      </c>
      <c r="X56" s="21">
        <f t="shared" si="31"/>
        <v>9.4539582903159225E-2</v>
      </c>
    </row>
    <row r="57" spans="1:24" ht="17.25" customHeight="1">
      <c r="A57" s="22">
        <v>1977</v>
      </c>
      <c r="B57" s="16">
        <v>90.25</v>
      </c>
      <c r="C57" s="16">
        <v>4.67</v>
      </c>
      <c r="D57" s="16">
        <v>10.89</v>
      </c>
      <c r="E57" s="16">
        <v>62.1</v>
      </c>
      <c r="F57" s="18">
        <v>4.8899999999999999E-2</v>
      </c>
      <c r="G57" s="18">
        <v>6.0999999999999999E-2</v>
      </c>
      <c r="H57" s="13">
        <f t="shared" si="16"/>
        <v>458.66910225442837</v>
      </c>
      <c r="I57" s="13">
        <f t="shared" si="17"/>
        <v>23.733902576489534</v>
      </c>
      <c r="J57" s="13">
        <f t="shared" si="18"/>
        <v>55.345224637681163</v>
      </c>
      <c r="K57" s="13">
        <f t="shared" si="25"/>
        <v>49.587339230536145</v>
      </c>
      <c r="L57" s="13">
        <f t="shared" si="26"/>
        <v>9.2497219929876273</v>
      </c>
      <c r="M57" s="14">
        <f t="shared" si="19"/>
        <v>-8.5637221847606221E-2</v>
      </c>
      <c r="N57" s="14">
        <f t="shared" si="24"/>
        <v>-0.14306097120017197</v>
      </c>
      <c r="O57" s="15">
        <f t="shared" si="20"/>
        <v>0.16099722991689744</v>
      </c>
      <c r="P57" s="15">
        <f t="shared" si="21"/>
        <v>6.4962008535292923E-2</v>
      </c>
      <c r="Q57" s="14">
        <f t="shared" si="22"/>
        <v>0.15377617291406098</v>
      </c>
      <c r="R57" s="14">
        <f t="shared" si="23"/>
        <v>5.4022598682240464E-2</v>
      </c>
      <c r="T57" s="13">
        <f t="shared" si="27"/>
        <v>11.485005756979787</v>
      </c>
      <c r="U57">
        <f t="shared" si="28"/>
        <v>0.8</v>
      </c>
      <c r="V57" s="19">
        <f t="shared" si="29"/>
        <v>0.19999999999999996</v>
      </c>
      <c r="W57" s="20">
        <f t="shared" si="30"/>
        <v>-5.8729777478084985E-2</v>
      </c>
      <c r="X57" s="21">
        <f t="shared" si="31"/>
        <v>-3.1822333108563729E-2</v>
      </c>
    </row>
    <row r="58" spans="1:24" ht="17.25" customHeight="1">
      <c r="A58" s="22">
        <v>1978</v>
      </c>
      <c r="B58" s="16">
        <v>99.71</v>
      </c>
      <c r="C58" s="16">
        <v>5.07</v>
      </c>
      <c r="D58" s="16">
        <v>12.33</v>
      </c>
      <c r="E58" s="16">
        <v>67.7</v>
      </c>
      <c r="F58" s="18">
        <v>6.9599999999999995E-2</v>
      </c>
      <c r="G58" s="18">
        <v>7.4800000000000005E-2</v>
      </c>
      <c r="H58" s="13">
        <f t="shared" si="16"/>
        <v>464.82975701624815</v>
      </c>
      <c r="I58" s="13">
        <f t="shared" si="17"/>
        <v>23.635411373707534</v>
      </c>
      <c r="J58" s="13">
        <f t="shared" si="18"/>
        <v>57.480201624815365</v>
      </c>
      <c r="K58" s="13">
        <f t="shared" si="25"/>
        <v>50.214557139496556</v>
      </c>
      <c r="L58" s="13">
        <f t="shared" si="26"/>
        <v>9.2568725783032662</v>
      </c>
      <c r="M58" s="14">
        <f t="shared" si="19"/>
        <v>0.16099722991689744</v>
      </c>
      <c r="N58" s="14">
        <f t="shared" si="24"/>
        <v>6.4962008535292923E-2</v>
      </c>
      <c r="O58" s="15">
        <f t="shared" si="20"/>
        <v>0.16858890783271499</v>
      </c>
      <c r="P58" s="15">
        <f t="shared" si="21"/>
        <v>3.1466350199150034E-2</v>
      </c>
      <c r="Q58" s="14">
        <f t="shared" si="22"/>
        <v>0.16190335452869475</v>
      </c>
      <c r="R58" s="14">
        <f t="shared" si="23"/>
        <v>7.1928579728339326E-2</v>
      </c>
      <c r="T58" s="13">
        <f t="shared" si="27"/>
        <v>9.2497219929876273</v>
      </c>
      <c r="U58">
        <f t="shared" si="28"/>
        <v>0.8</v>
      </c>
      <c r="V58" s="19">
        <f t="shared" si="29"/>
        <v>0.19999999999999996</v>
      </c>
      <c r="W58" s="20">
        <f t="shared" si="30"/>
        <v>0.14271778393351794</v>
      </c>
      <c r="X58" s="21">
        <f t="shared" si="31"/>
        <v>0.12443833795013846</v>
      </c>
    </row>
    <row r="59" spans="1:24" ht="17.25" customHeight="1">
      <c r="A59" s="22">
        <v>1979</v>
      </c>
      <c r="B59" s="16">
        <v>110.87</v>
      </c>
      <c r="C59" s="16">
        <v>5.65</v>
      </c>
      <c r="D59" s="16">
        <v>14.86</v>
      </c>
      <c r="E59" s="16">
        <v>76.7</v>
      </c>
      <c r="F59" s="18">
        <v>0.10299999999999999</v>
      </c>
      <c r="G59" s="18">
        <v>9.0800000000000006E-2</v>
      </c>
      <c r="H59" s="13">
        <f t="shared" si="16"/>
        <v>456.20764471968715</v>
      </c>
      <c r="I59" s="13">
        <f t="shared" si="17"/>
        <v>23.248608213820081</v>
      </c>
      <c r="J59" s="13">
        <f t="shared" si="18"/>
        <v>61.145897001303773</v>
      </c>
      <c r="K59" s="13">
        <f t="shared" si="25"/>
        <v>51.490428271987675</v>
      </c>
      <c r="L59" s="13">
        <f t="shared" si="26"/>
        <v>8.8600475861234518</v>
      </c>
      <c r="M59" s="14">
        <f t="shared" si="19"/>
        <v>0.16858890783271499</v>
      </c>
      <c r="N59" s="14">
        <f t="shared" si="24"/>
        <v>3.1466350199150034E-2</v>
      </c>
      <c r="O59" s="15">
        <f t="shared" si="20"/>
        <v>0.25489311806620363</v>
      </c>
      <c r="P59" s="15">
        <f t="shared" si="21"/>
        <v>0.11529898210518903</v>
      </c>
      <c r="Q59" s="14">
        <f t="shared" si="22"/>
        <v>0.14301182459031225</v>
      </c>
      <c r="R59" s="14">
        <f t="shared" si="23"/>
        <v>7.2813232902102509E-2</v>
      </c>
      <c r="T59" s="13">
        <f t="shared" si="27"/>
        <v>9.2568725783032662</v>
      </c>
      <c r="U59">
        <f t="shared" si="28"/>
        <v>0.8</v>
      </c>
      <c r="V59" s="19">
        <f t="shared" si="29"/>
        <v>0.19999999999999996</v>
      </c>
      <c r="W59" s="20">
        <f t="shared" si="30"/>
        <v>0.15547112626617199</v>
      </c>
      <c r="X59" s="21">
        <f t="shared" si="31"/>
        <v>0.14235334469962899</v>
      </c>
    </row>
    <row r="60" spans="1:24" ht="17.25" customHeight="1">
      <c r="A60" s="22">
        <v>1980</v>
      </c>
      <c r="B60" s="16">
        <v>132.97</v>
      </c>
      <c r="C60" s="16">
        <v>6.16</v>
      </c>
      <c r="D60" s="16">
        <v>14.82</v>
      </c>
      <c r="E60" s="16">
        <v>86.3</v>
      </c>
      <c r="F60" s="18">
        <v>0.1198</v>
      </c>
      <c r="G60" s="18">
        <v>0.1042</v>
      </c>
      <c r="H60" s="13">
        <f t="shared" si="16"/>
        <v>486.28038064889921</v>
      </c>
      <c r="I60" s="13">
        <f t="shared" si="17"/>
        <v>22.527541135573582</v>
      </c>
      <c r="J60" s="13">
        <f t="shared" si="18"/>
        <v>54.197753186558522</v>
      </c>
      <c r="K60" s="13">
        <f t="shared" si="25"/>
        <v>52.842229595668641</v>
      </c>
      <c r="L60" s="13">
        <f t="shared" si="26"/>
        <v>9.2024955110667488</v>
      </c>
      <c r="M60" s="14">
        <f t="shared" si="19"/>
        <v>0.25489311806620363</v>
      </c>
      <c r="N60" s="14">
        <f t="shared" si="24"/>
        <v>0.11529898210518903</v>
      </c>
      <c r="O60" s="15">
        <f t="shared" si="20"/>
        <v>-6.8135669699932302E-2</v>
      </c>
      <c r="P60" s="15">
        <f t="shared" si="21"/>
        <v>-0.14446923718195903</v>
      </c>
      <c r="Q60" s="14">
        <f t="shared" si="22"/>
        <v>0.1437939402786983</v>
      </c>
      <c r="R60" s="14">
        <f t="shared" si="23"/>
        <v>9.1002932972087391E-2</v>
      </c>
      <c r="T60" s="13">
        <f t="shared" si="27"/>
        <v>8.8600475861234518</v>
      </c>
      <c r="U60">
        <f t="shared" si="28"/>
        <v>0.8</v>
      </c>
      <c r="V60" s="19">
        <f t="shared" si="29"/>
        <v>0.19999999999999996</v>
      </c>
      <c r="W60" s="20">
        <f t="shared" si="30"/>
        <v>0.22787449445296293</v>
      </c>
      <c r="X60" s="21">
        <f t="shared" si="31"/>
        <v>0.20085587083972217</v>
      </c>
    </row>
    <row r="61" spans="1:24" ht="17.25" customHeight="1">
      <c r="A61" s="22">
        <v>1981</v>
      </c>
      <c r="B61" s="16">
        <v>117.28</v>
      </c>
      <c r="C61" s="16">
        <v>6.63</v>
      </c>
      <c r="D61" s="16">
        <v>15.36</v>
      </c>
      <c r="E61" s="16">
        <v>94</v>
      </c>
      <c r="F61" s="18">
        <v>0.14879999999999999</v>
      </c>
      <c r="G61" s="18">
        <v>0.13250000000000001</v>
      </c>
      <c r="H61" s="13">
        <f t="shared" si="16"/>
        <v>393.76760000000007</v>
      </c>
      <c r="I61" s="13">
        <f t="shared" si="17"/>
        <v>22.260224999999998</v>
      </c>
      <c r="J61" s="13">
        <f t="shared" si="18"/>
        <v>51.571199999999997</v>
      </c>
      <c r="K61" s="13">
        <f t="shared" si="25"/>
        <v>53.622345946033612</v>
      </c>
      <c r="L61" s="13">
        <f t="shared" si="26"/>
        <v>7.3433489910399317</v>
      </c>
      <c r="M61" s="14">
        <f t="shared" si="19"/>
        <v>-6.8135669699932302E-2</v>
      </c>
      <c r="N61" s="14">
        <f t="shared" si="24"/>
        <v>-0.14446923718195903</v>
      </c>
      <c r="O61" s="15">
        <f t="shared" si="20"/>
        <v>0.28871077762619379</v>
      </c>
      <c r="P61" s="15">
        <f t="shared" si="21"/>
        <v>0.24117636369735859</v>
      </c>
      <c r="Q61" s="14">
        <f t="shared" si="22"/>
        <v>0.22447795266120862</v>
      </c>
      <c r="R61" s="14">
        <f t="shared" si="23"/>
        <v>0.18550689703437495</v>
      </c>
      <c r="T61" s="13">
        <f t="shared" si="27"/>
        <v>9.2024955110667488</v>
      </c>
      <c r="U61">
        <f t="shared" si="28"/>
        <v>0.8</v>
      </c>
      <c r="V61" s="19">
        <f t="shared" si="29"/>
        <v>0.19999999999999996</v>
      </c>
      <c r="W61" s="20">
        <f t="shared" si="30"/>
        <v>-2.4748535759945855E-2</v>
      </c>
      <c r="X61" s="21">
        <f t="shared" si="31"/>
        <v>1.8638598180040614E-2</v>
      </c>
    </row>
    <row r="62" spans="1:24" ht="17.25" customHeight="1">
      <c r="A62" s="22">
        <v>1982</v>
      </c>
      <c r="B62" s="16">
        <v>144.27000000000001</v>
      </c>
      <c r="C62" s="16">
        <v>6.87</v>
      </c>
      <c r="D62" s="16">
        <v>12.64</v>
      </c>
      <c r="E62" s="16">
        <v>97.6</v>
      </c>
      <c r="F62" s="18">
        <v>0.1285</v>
      </c>
      <c r="G62" s="18">
        <v>0.13600000000000001</v>
      </c>
      <c r="H62" s="13">
        <f t="shared" si="16"/>
        <v>466.51980891393447</v>
      </c>
      <c r="I62" s="13">
        <f t="shared" si="17"/>
        <v>22.21522899590164</v>
      </c>
      <c r="J62" s="13">
        <f t="shared" si="18"/>
        <v>40.873434426229522</v>
      </c>
      <c r="K62" s="13">
        <f t="shared" si="25"/>
        <v>52.942197388656567</v>
      </c>
      <c r="L62" s="13">
        <f t="shared" si="26"/>
        <v>8.8118709068522971</v>
      </c>
      <c r="M62" s="14">
        <f t="shared" si="19"/>
        <v>0.28871077762619379</v>
      </c>
      <c r="N62" s="14">
        <f t="shared" si="24"/>
        <v>0.24117636369735859</v>
      </c>
      <c r="O62" s="15">
        <f t="shared" si="20"/>
        <v>0.20246759548069573</v>
      </c>
      <c r="P62" s="15">
        <f t="shared" si="21"/>
        <v>0.15854725882444137</v>
      </c>
      <c r="Q62" s="14">
        <f t="shared" si="22"/>
        <v>0.15928071731410953</v>
      </c>
      <c r="R62" s="14">
        <f t="shared" si="23"/>
        <v>0.12108208855846558</v>
      </c>
      <c r="T62" s="13">
        <f t="shared" si="27"/>
        <v>7.3433489910399317</v>
      </c>
      <c r="U62">
        <f t="shared" si="28"/>
        <v>0.8</v>
      </c>
      <c r="V62" s="19">
        <f t="shared" si="29"/>
        <v>0.19999999999999996</v>
      </c>
      <c r="W62" s="20">
        <f t="shared" si="30"/>
        <v>0.25666862210095504</v>
      </c>
      <c r="X62" s="21">
        <f t="shared" si="31"/>
        <v>0.22462646657571628</v>
      </c>
    </row>
    <row r="63" spans="1:24" ht="17.25" customHeight="1">
      <c r="A63" s="22">
        <v>1983</v>
      </c>
      <c r="B63" s="16">
        <v>166.39</v>
      </c>
      <c r="C63" s="16">
        <v>7.09</v>
      </c>
      <c r="D63" s="16">
        <v>14.03</v>
      </c>
      <c r="E63" s="16">
        <v>101.3</v>
      </c>
      <c r="F63" s="18">
        <v>8.9099999999999999E-2</v>
      </c>
      <c r="G63" s="18">
        <v>0.1022</v>
      </c>
      <c r="H63" s="13">
        <f t="shared" si="16"/>
        <v>518.39601135241855</v>
      </c>
      <c r="I63" s="13">
        <f t="shared" si="17"/>
        <v>22.089234452122408</v>
      </c>
      <c r="J63" s="13">
        <f t="shared" si="18"/>
        <v>43.71113672260612</v>
      </c>
      <c r="K63" s="13">
        <f t="shared" si="25"/>
        <v>51.738988982995103</v>
      </c>
      <c r="L63" s="13">
        <f t="shared" si="26"/>
        <v>10.019446099397076</v>
      </c>
      <c r="M63" s="14">
        <f t="shared" si="19"/>
        <v>0.20246759548069573</v>
      </c>
      <c r="N63" s="14">
        <f t="shared" si="24"/>
        <v>0.15854725882444137</v>
      </c>
      <c r="O63" s="15">
        <f t="shared" si="20"/>
        <v>7.6627201153915678E-2</v>
      </c>
      <c r="P63" s="15">
        <f t="shared" si="21"/>
        <v>3.5729681641896056E-2</v>
      </c>
      <c r="Q63" s="14">
        <f t="shared" si="22"/>
        <v>0.15458241727368116</v>
      </c>
      <c r="R63" s="14">
        <f t="shared" si="23"/>
        <v>0.11519141941190836</v>
      </c>
      <c r="T63" s="13">
        <f t="shared" si="27"/>
        <v>8.8118709068522971</v>
      </c>
      <c r="U63">
        <f t="shared" si="28"/>
        <v>0.8</v>
      </c>
      <c r="V63" s="19">
        <f t="shared" si="29"/>
        <v>0.19999999999999996</v>
      </c>
      <c r="W63" s="20">
        <f t="shared" si="30"/>
        <v>0.17979407638455661</v>
      </c>
      <c r="X63" s="21">
        <f t="shared" si="31"/>
        <v>0.15712055728841742</v>
      </c>
    </row>
    <row r="64" spans="1:24" ht="17.25" customHeight="1">
      <c r="A64" s="22">
        <v>1984</v>
      </c>
      <c r="B64" s="16">
        <v>171.61</v>
      </c>
      <c r="C64" s="16">
        <v>7.53</v>
      </c>
      <c r="D64" s="16">
        <v>16.64</v>
      </c>
      <c r="E64" s="16">
        <v>105.3</v>
      </c>
      <c r="F64" s="18">
        <v>0.1011</v>
      </c>
      <c r="G64" s="18">
        <v>0.1154</v>
      </c>
      <c r="H64" s="13">
        <f t="shared" si="16"/>
        <v>514.34923124406464</v>
      </c>
      <c r="I64" s="13">
        <f t="shared" si="17"/>
        <v>22.568904558404562</v>
      </c>
      <c r="J64" s="13">
        <f t="shared" si="18"/>
        <v>49.873382716049385</v>
      </c>
      <c r="K64" s="13">
        <f t="shared" si="25"/>
        <v>51.320299412596185</v>
      </c>
      <c r="L64" s="13">
        <f t="shared" si="26"/>
        <v>10.0223349655248</v>
      </c>
      <c r="M64" s="14">
        <f t="shared" si="19"/>
        <v>7.6627201153915678E-2</v>
      </c>
      <c r="N64" s="14">
        <f t="shared" si="24"/>
        <v>3.5729681641896056E-2</v>
      </c>
      <c r="O64" s="15">
        <f t="shared" si="20"/>
        <v>0.2591923547578811</v>
      </c>
      <c r="P64" s="15">
        <f t="shared" si="21"/>
        <v>0.21311029236966947</v>
      </c>
      <c r="Q64" s="14">
        <f t="shared" si="22"/>
        <v>0.18572616974899314</v>
      </c>
      <c r="R64" s="14">
        <f t="shared" si="23"/>
        <v>0.14373934716565939</v>
      </c>
      <c r="T64" s="13">
        <f t="shared" si="27"/>
        <v>10.019446099397076</v>
      </c>
      <c r="U64">
        <f t="shared" si="28"/>
        <v>0.8</v>
      </c>
      <c r="V64" s="19">
        <f t="shared" si="29"/>
        <v>0.19999999999999996</v>
      </c>
      <c r="W64" s="20">
        <f t="shared" si="30"/>
        <v>8.1521760923132541E-2</v>
      </c>
      <c r="X64" s="21">
        <f t="shared" si="31"/>
        <v>8.6416320692349419E-2</v>
      </c>
    </row>
    <row r="65" spans="1:24" ht="17.25" customHeight="1">
      <c r="A65" s="22">
        <v>1985</v>
      </c>
      <c r="B65" s="16">
        <v>208.19</v>
      </c>
      <c r="C65" s="16">
        <v>7.9</v>
      </c>
      <c r="D65" s="16">
        <v>14.61</v>
      </c>
      <c r="E65" s="16">
        <v>109.3</v>
      </c>
      <c r="F65" s="18">
        <v>9.3299999999999994E-2</v>
      </c>
      <c r="G65" s="18">
        <v>0.11070000000000001</v>
      </c>
      <c r="H65" s="13">
        <f t="shared" si="16"/>
        <v>601.15100594693502</v>
      </c>
      <c r="I65" s="13">
        <f t="shared" si="17"/>
        <v>22.811340347666977</v>
      </c>
      <c r="J65" s="13">
        <f t="shared" si="18"/>
        <v>42.186542086001829</v>
      </c>
      <c r="K65" s="13">
        <f t="shared" si="25"/>
        <v>51.012438666241408</v>
      </c>
      <c r="L65" s="13">
        <f t="shared" si="26"/>
        <v>11.784400465150862</v>
      </c>
      <c r="M65" s="14">
        <f t="shared" si="19"/>
        <v>0.2591923547578811</v>
      </c>
      <c r="N65" s="14">
        <f t="shared" si="24"/>
        <v>0.21311029236966947</v>
      </c>
      <c r="O65" s="15">
        <f t="shared" si="20"/>
        <v>0.31029348191555789</v>
      </c>
      <c r="P65" s="15">
        <f t="shared" si="21"/>
        <v>0.29606405043774203</v>
      </c>
      <c r="Q65" s="14">
        <f t="shared" si="22"/>
        <v>0.13072855036191</v>
      </c>
      <c r="R65" s="14">
        <f t="shared" si="23"/>
        <v>8.590333704374209E-2</v>
      </c>
      <c r="T65" s="13">
        <f t="shared" si="27"/>
        <v>10.0223349655248</v>
      </c>
      <c r="U65">
        <f t="shared" si="28"/>
        <v>0.8</v>
      </c>
      <c r="V65" s="19">
        <f t="shared" si="29"/>
        <v>0.19999999999999996</v>
      </c>
      <c r="W65" s="20">
        <f t="shared" si="30"/>
        <v>0.22601388380630488</v>
      </c>
      <c r="X65" s="21">
        <f t="shared" si="31"/>
        <v>0.19283541285472866</v>
      </c>
    </row>
    <row r="66" spans="1:24" ht="17.25" customHeight="1">
      <c r="A66" s="22">
        <v>1986</v>
      </c>
      <c r="B66" s="16">
        <v>264.51</v>
      </c>
      <c r="C66" s="16">
        <v>8.2799999999999994</v>
      </c>
      <c r="D66" s="16">
        <v>14.48</v>
      </c>
      <c r="E66" s="16">
        <v>110.5</v>
      </c>
      <c r="F66" s="18">
        <v>7.6700000000000004E-2</v>
      </c>
      <c r="G66" s="18">
        <v>8.7300000000000003E-2</v>
      </c>
      <c r="H66" s="13">
        <f t="shared" si="16"/>
        <v>755.48125384615389</v>
      </c>
      <c r="I66" s="13">
        <f t="shared" si="17"/>
        <v>23.648953846153848</v>
      </c>
      <c r="J66" s="13">
        <f t="shared" si="18"/>
        <v>41.357107692307693</v>
      </c>
      <c r="K66" s="13">
        <f t="shared" si="25"/>
        <v>49.774188009355342</v>
      </c>
      <c r="L66" s="13">
        <f t="shared" si="26"/>
        <v>15.178173347682877</v>
      </c>
      <c r="M66" s="14">
        <f t="shared" si="19"/>
        <v>0.31029348191555789</v>
      </c>
      <c r="N66" s="14">
        <f t="shared" si="24"/>
        <v>0.29606405043774203</v>
      </c>
      <c r="O66" s="15">
        <f t="shared" si="20"/>
        <v>-1.9734603606668937E-2</v>
      </c>
      <c r="P66" s="15">
        <f t="shared" si="21"/>
        <v>-6.1357657699626672E-2</v>
      </c>
      <c r="Q66" s="14">
        <f t="shared" si="22"/>
        <v>0.13167051860364287</v>
      </c>
      <c r="R66" s="14">
        <f t="shared" si="23"/>
        <v>8.2628871119756031E-2</v>
      </c>
      <c r="T66" s="13">
        <f t="shared" si="27"/>
        <v>11.784400465150862</v>
      </c>
      <c r="U66">
        <f t="shared" si="28"/>
        <v>0.8</v>
      </c>
      <c r="V66" s="19">
        <f t="shared" si="29"/>
        <v>0.19999999999999996</v>
      </c>
      <c r="W66" s="20">
        <f t="shared" si="30"/>
        <v>0.26357478553244634</v>
      </c>
      <c r="X66" s="21">
        <f t="shared" si="31"/>
        <v>0.21685608914933474</v>
      </c>
    </row>
    <row r="67" spans="1:24" ht="17.25" customHeight="1">
      <c r="A67" s="22">
        <v>1987</v>
      </c>
      <c r="B67" s="16">
        <v>250.48</v>
      </c>
      <c r="C67" s="16">
        <v>8.81</v>
      </c>
      <c r="D67" s="16">
        <v>17.5</v>
      </c>
      <c r="E67" s="16">
        <v>115.4</v>
      </c>
      <c r="F67" s="18">
        <v>5.8700000000000002E-2</v>
      </c>
      <c r="G67" s="18">
        <v>6.6699999999999995E-2</v>
      </c>
      <c r="H67" s="13">
        <f t="shared" ref="H67:H98" si="32">B67 / E67 * $E$104</f>
        <v>685.03241247833625</v>
      </c>
      <c r="I67" s="13">
        <f t="shared" ref="I67:I98" si="33">C67 / E67 * $E$104</f>
        <v>24.094281195840558</v>
      </c>
      <c r="J67" s="13">
        <f t="shared" ref="J67:J98" si="34">D67 / E67 * $E$104</f>
        <v>47.860376949740036</v>
      </c>
      <c r="K67" s="13">
        <f t="shared" si="25"/>
        <v>49.025703240561221</v>
      </c>
      <c r="L67" s="13">
        <f t="shared" si="26"/>
        <v>13.972923735881823</v>
      </c>
      <c r="M67" s="14">
        <f t="shared" ref="M67:M98" si="35">(B67-B66+C67)/B66</f>
        <v>-1.9734603606668937E-2</v>
      </c>
      <c r="N67" s="14">
        <f t="shared" si="24"/>
        <v>-6.1357657699626672E-2</v>
      </c>
      <c r="O67" s="15">
        <f t="shared" ref="O67:O103" si="36">M68</f>
        <v>0.17829766847652523</v>
      </c>
      <c r="P67" s="15">
        <f t="shared" ref="P67:P103" si="37">N68</f>
        <v>0.128427808648888</v>
      </c>
      <c r="Q67" s="14">
        <f t="shared" ref="Q67:Q98" si="38">((1+M68)*(1+M69)*(1+M70)*(1+M71)*(1+M72))^(1/5)-1</f>
        <v>0.15291119326097791</v>
      </c>
      <c r="R67" s="14">
        <f t="shared" ref="R67:R98" si="39">((1+N68)*(1+N69)*(1+N70)*(1+N71)*(1+N72))^(1/5)-1</f>
        <v>0.10621753495786357</v>
      </c>
      <c r="T67" s="13">
        <f t="shared" si="27"/>
        <v>15.178173347682877</v>
      </c>
      <c r="U67">
        <f t="shared" si="28"/>
        <v>0.6</v>
      </c>
      <c r="V67" s="19">
        <f t="shared" si="29"/>
        <v>0.4</v>
      </c>
      <c r="W67" s="20">
        <f t="shared" si="30"/>
        <v>1.1639237835998639E-2</v>
      </c>
      <c r="X67" s="21">
        <f t="shared" si="31"/>
        <v>1.1639237835998639E-2</v>
      </c>
    </row>
    <row r="68" spans="1:24" ht="17.25" customHeight="1">
      <c r="A68" s="22">
        <v>1988</v>
      </c>
      <c r="B68" s="16">
        <v>285.41000000000003</v>
      </c>
      <c r="C68" s="16">
        <v>9.73</v>
      </c>
      <c r="D68" s="16">
        <v>23.76</v>
      </c>
      <c r="E68" s="16">
        <v>120.5</v>
      </c>
      <c r="F68" s="18">
        <v>7.17E-2</v>
      </c>
      <c r="G68" s="18">
        <v>8.4500000000000006E-2</v>
      </c>
      <c r="H68" s="13">
        <f t="shared" si="32"/>
        <v>747.52550248962666</v>
      </c>
      <c r="I68" s="13">
        <f t="shared" si="33"/>
        <v>25.484121576763489</v>
      </c>
      <c r="J68" s="13">
        <f t="shared" si="34"/>
        <v>62.230496265560177</v>
      </c>
      <c r="K68" s="13">
        <f t="shared" si="25"/>
        <v>49.500732704635709</v>
      </c>
      <c r="L68" s="13">
        <f t="shared" si="26"/>
        <v>15.101301771632594</v>
      </c>
      <c r="M68" s="14">
        <f t="shared" si="35"/>
        <v>0.17829766847652523</v>
      </c>
      <c r="N68" s="14">
        <f t="shared" ref="N68:N104" si="40">(H68-H67+I68)/H67</f>
        <v>0.128427808648888</v>
      </c>
      <c r="O68" s="15">
        <f t="shared" si="36"/>
        <v>0.2298798220104411</v>
      </c>
      <c r="P68" s="15">
        <f t="shared" si="37"/>
        <v>0.17526184418920032</v>
      </c>
      <c r="Q68" s="14">
        <f t="shared" si="38"/>
        <v>0.14038489625271033</v>
      </c>
      <c r="R68" s="14">
        <f t="shared" si="39"/>
        <v>9.7734620549208895E-2</v>
      </c>
      <c r="T68" s="13">
        <f t="shared" si="27"/>
        <v>13.972923735881823</v>
      </c>
      <c r="U68">
        <f t="shared" si="28"/>
        <v>0.8</v>
      </c>
      <c r="V68" s="19">
        <f t="shared" si="29"/>
        <v>0.19999999999999996</v>
      </c>
      <c r="W68" s="20">
        <f t="shared" si="30"/>
        <v>0.15697813478122019</v>
      </c>
      <c r="X68" s="21">
        <f t="shared" si="31"/>
        <v>0.13565860108591513</v>
      </c>
    </row>
    <row r="69" spans="1:24" ht="17.25" customHeight="1">
      <c r="A69" s="22">
        <v>1989</v>
      </c>
      <c r="B69" s="16">
        <v>339.97</v>
      </c>
      <c r="C69" s="16">
        <v>11.05</v>
      </c>
      <c r="D69" s="16">
        <v>22.87</v>
      </c>
      <c r="E69" s="16">
        <v>126.1</v>
      </c>
      <c r="F69" s="18">
        <v>8.9899999999999994E-2</v>
      </c>
      <c r="G69" s="18">
        <v>9.0899999999999995E-2</v>
      </c>
      <c r="H69" s="13">
        <f t="shared" si="32"/>
        <v>850.8820923869946</v>
      </c>
      <c r="I69" s="13">
        <f t="shared" si="33"/>
        <v>27.656108247422683</v>
      </c>
      <c r="J69" s="13">
        <f t="shared" si="34"/>
        <v>57.239384218873923</v>
      </c>
      <c r="K69" s="13">
        <f t="shared" si="25"/>
        <v>49.110081426392718</v>
      </c>
      <c r="L69" s="13">
        <f t="shared" si="26"/>
        <v>17.326016729626392</v>
      </c>
      <c r="M69" s="14">
        <f t="shared" si="35"/>
        <v>0.2298798220104411</v>
      </c>
      <c r="N69" s="14">
        <f t="shared" si="40"/>
        <v>0.17526184418920032</v>
      </c>
      <c r="O69" s="15">
        <f t="shared" si="36"/>
        <v>-6.9712033414713872E-3</v>
      </c>
      <c r="P69" s="15">
        <f t="shared" si="37"/>
        <v>-6.4118600458591635E-2</v>
      </c>
      <c r="Q69" s="14">
        <f t="shared" si="38"/>
        <v>9.6660523635383244E-2</v>
      </c>
      <c r="R69" s="14">
        <f t="shared" si="39"/>
        <v>5.9670557339268182E-2</v>
      </c>
      <c r="T69" s="13">
        <f t="shared" si="27"/>
        <v>15.101301771632594</v>
      </c>
      <c r="U69">
        <f t="shared" si="28"/>
        <v>0.6</v>
      </c>
      <c r="V69" s="19">
        <f t="shared" si="29"/>
        <v>0.4</v>
      </c>
      <c r="W69" s="20">
        <f t="shared" si="30"/>
        <v>0.17388789320626466</v>
      </c>
      <c r="X69" s="21">
        <f t="shared" si="31"/>
        <v>0.17388789320626466</v>
      </c>
    </row>
    <row r="70" spans="1:24" ht="17.25" customHeight="1">
      <c r="A70" s="22">
        <v>1990</v>
      </c>
      <c r="B70" s="16">
        <v>325.5</v>
      </c>
      <c r="C70" s="16">
        <v>12.1</v>
      </c>
      <c r="D70" s="16">
        <v>21.34</v>
      </c>
      <c r="E70" s="16">
        <v>133.80000000000001</v>
      </c>
      <c r="F70" s="18">
        <v>7.7200000000000005E-2</v>
      </c>
      <c r="G70" s="18">
        <v>7.7499999999999999E-2</v>
      </c>
      <c r="H70" s="13">
        <f t="shared" si="32"/>
        <v>767.7834641255605</v>
      </c>
      <c r="I70" s="13">
        <f t="shared" si="33"/>
        <v>28.541259342301942</v>
      </c>
      <c r="J70" s="13">
        <f t="shared" si="34"/>
        <v>50.33640284005979</v>
      </c>
      <c r="K70" s="13">
        <f t="shared" si="25"/>
        <v>48.723946391742849</v>
      </c>
      <c r="L70" s="13">
        <f t="shared" si="26"/>
        <v>15.757825894326064</v>
      </c>
      <c r="M70" s="14">
        <f t="shared" si="35"/>
        <v>-6.9712033414713872E-3</v>
      </c>
      <c r="N70" s="14">
        <f t="shared" si="40"/>
        <v>-6.4118600458591635E-2</v>
      </c>
      <c r="O70" s="15">
        <f t="shared" si="36"/>
        <v>0.31576036866359442</v>
      </c>
      <c r="P70" s="15">
        <f t="shared" si="37"/>
        <v>0.27664058975481459</v>
      </c>
      <c r="Q70" s="14">
        <f t="shared" si="38"/>
        <v>0.16617448367166432</v>
      </c>
      <c r="R70" s="14">
        <f t="shared" si="39"/>
        <v>0.13457466455035316</v>
      </c>
      <c r="T70" s="13">
        <f t="shared" si="27"/>
        <v>17.326016729626392</v>
      </c>
      <c r="U70">
        <f t="shared" si="28"/>
        <v>0.6</v>
      </c>
      <c r="V70" s="19">
        <f t="shared" si="29"/>
        <v>0.4</v>
      </c>
      <c r="W70" s="20">
        <f t="shared" si="30"/>
        <v>2.6697277995117175E-2</v>
      </c>
      <c r="X70" s="21">
        <f t="shared" si="31"/>
        <v>2.6697277995117175E-2</v>
      </c>
    </row>
    <row r="71" spans="1:24" ht="17.25" customHeight="1">
      <c r="A71" s="22">
        <v>1991</v>
      </c>
      <c r="B71" s="16">
        <v>416.08</v>
      </c>
      <c r="C71" s="16">
        <v>12.2</v>
      </c>
      <c r="D71" s="16">
        <v>15.91</v>
      </c>
      <c r="E71" s="16">
        <v>137.9</v>
      </c>
      <c r="F71" s="18">
        <v>7.0499999999999993E-2</v>
      </c>
      <c r="G71" s="18">
        <v>7.7299999999999994E-2</v>
      </c>
      <c r="H71" s="13">
        <f t="shared" si="32"/>
        <v>952.26198984771565</v>
      </c>
      <c r="I71" s="13">
        <f t="shared" si="33"/>
        <v>27.921544597534446</v>
      </c>
      <c r="J71" s="13">
        <f t="shared" si="34"/>
        <v>36.412440536620743</v>
      </c>
      <c r="K71" s="13">
        <f t="shared" si="25"/>
        <v>47.208070445404921</v>
      </c>
      <c r="L71" s="13">
        <f t="shared" si="26"/>
        <v>20.171593137850984</v>
      </c>
      <c r="M71" s="14">
        <f t="shared" si="35"/>
        <v>0.31576036866359442</v>
      </c>
      <c r="N71" s="14">
        <f t="shared" si="40"/>
        <v>0.27664058975481459</v>
      </c>
      <c r="O71" s="15">
        <f t="shared" si="36"/>
        <v>7.5778696404537674E-2</v>
      </c>
      <c r="P71" s="15">
        <f t="shared" si="37"/>
        <v>4.5453715533373885E-2</v>
      </c>
      <c r="Q71" s="14">
        <f t="shared" si="38"/>
        <v>0.15818692341869056</v>
      </c>
      <c r="R71" s="14">
        <f t="shared" si="39"/>
        <v>0.12623980803609158</v>
      </c>
      <c r="T71" s="13">
        <f t="shared" si="27"/>
        <v>15.757825894326064</v>
      </c>
      <c r="U71">
        <f t="shared" si="28"/>
        <v>0.6</v>
      </c>
      <c r="V71" s="19">
        <f t="shared" si="29"/>
        <v>0.4</v>
      </c>
      <c r="W71" s="20">
        <f t="shared" si="30"/>
        <v>0.21765622119815664</v>
      </c>
      <c r="X71" s="21">
        <f t="shared" si="31"/>
        <v>0.21765622119815664</v>
      </c>
    </row>
    <row r="72" spans="1:24" ht="17.25" customHeight="1">
      <c r="A72" s="22">
        <v>1992</v>
      </c>
      <c r="B72" s="16">
        <v>435.23</v>
      </c>
      <c r="C72" s="16">
        <v>12.38</v>
      </c>
      <c r="D72" s="16">
        <v>19.09</v>
      </c>
      <c r="E72" s="16">
        <v>141.9</v>
      </c>
      <c r="F72" s="18">
        <v>4.3799999999999999E-2</v>
      </c>
      <c r="G72" s="18">
        <v>6.1899999999999997E-2</v>
      </c>
      <c r="H72" s="13">
        <f t="shared" si="32"/>
        <v>968.01102290345318</v>
      </c>
      <c r="I72" s="13">
        <f t="shared" si="33"/>
        <v>27.534812544045106</v>
      </c>
      <c r="J72" s="13">
        <f t="shared" si="34"/>
        <v>42.458769908386188</v>
      </c>
      <c r="K72" s="13">
        <f t="shared" si="25"/>
        <v>47.366603993620593</v>
      </c>
      <c r="L72" s="13">
        <f t="shared" si="26"/>
        <v>20.436572210957458</v>
      </c>
      <c r="M72" s="14">
        <f t="shared" si="35"/>
        <v>7.5778696404537674E-2</v>
      </c>
      <c r="N72" s="14">
        <f t="shared" si="40"/>
        <v>4.5453715533373885E-2</v>
      </c>
      <c r="O72" s="15">
        <f t="shared" si="36"/>
        <v>0.11566298279070833</v>
      </c>
      <c r="P72" s="15">
        <f t="shared" si="37"/>
        <v>8.5820145802479486E-2</v>
      </c>
      <c r="Q72" s="14">
        <f t="shared" si="38"/>
        <v>0.19869167428334689</v>
      </c>
      <c r="R72" s="14">
        <f t="shared" si="39"/>
        <v>0.16836111496389083</v>
      </c>
      <c r="T72" s="13">
        <f t="shared" si="27"/>
        <v>20.171593137850984</v>
      </c>
      <c r="U72">
        <f t="shared" si="28"/>
        <v>0.6</v>
      </c>
      <c r="V72" s="19">
        <f t="shared" si="29"/>
        <v>0.4</v>
      </c>
      <c r="W72" s="20">
        <f t="shared" si="30"/>
        <v>6.2987217842722598E-2</v>
      </c>
      <c r="X72" s="21">
        <f t="shared" si="31"/>
        <v>6.2987217842722598E-2</v>
      </c>
    </row>
    <row r="73" spans="1:24" ht="17.25" customHeight="1">
      <c r="A73" s="22">
        <v>1993</v>
      </c>
      <c r="B73" s="16">
        <v>472.99</v>
      </c>
      <c r="C73" s="16">
        <v>12.58</v>
      </c>
      <c r="D73" s="16">
        <v>21.88</v>
      </c>
      <c r="E73" s="16">
        <v>145.80000000000001</v>
      </c>
      <c r="F73" s="18">
        <v>3.7100000000000001E-2</v>
      </c>
      <c r="G73" s="18">
        <v>6.08E-2</v>
      </c>
      <c r="H73" s="13">
        <f t="shared" si="32"/>
        <v>1023.8546567215363</v>
      </c>
      <c r="I73" s="13">
        <f t="shared" si="33"/>
        <v>27.231213305898489</v>
      </c>
      <c r="J73" s="13">
        <f t="shared" si="34"/>
        <v>47.362396433470508</v>
      </c>
      <c r="K73" s="13">
        <f t="shared" si="25"/>
        <v>47.731729964707029</v>
      </c>
      <c r="L73" s="13">
        <f t="shared" si="26"/>
        <v>21.450189579941419</v>
      </c>
      <c r="M73" s="14">
        <f t="shared" si="35"/>
        <v>0.11566298279070833</v>
      </c>
      <c r="N73" s="14">
        <f t="shared" si="40"/>
        <v>8.5820145802479486E-2</v>
      </c>
      <c r="O73" s="15">
        <f t="shared" si="36"/>
        <v>1.1501300238905665E-2</v>
      </c>
      <c r="P73" s="15">
        <f t="shared" si="37"/>
        <v>-1.4850437041867363E-2</v>
      </c>
      <c r="Q73" s="14">
        <f t="shared" si="38"/>
        <v>0.23839504982866178</v>
      </c>
      <c r="R73" s="14">
        <f t="shared" si="39"/>
        <v>0.20974802410196536</v>
      </c>
      <c r="T73" s="13">
        <f t="shared" si="27"/>
        <v>20.436572210957458</v>
      </c>
      <c r="U73">
        <f t="shared" si="28"/>
        <v>0.6</v>
      </c>
      <c r="V73" s="19">
        <f t="shared" si="29"/>
        <v>0.4</v>
      </c>
      <c r="W73" s="20">
        <f t="shared" si="30"/>
        <v>8.4237789674424995E-2</v>
      </c>
      <c r="X73" s="21">
        <f t="shared" si="31"/>
        <v>8.4237789674424995E-2</v>
      </c>
    </row>
    <row r="74" spans="1:24" ht="17.25" customHeight="1">
      <c r="A74" s="22">
        <v>1994</v>
      </c>
      <c r="B74" s="16">
        <v>465.25</v>
      </c>
      <c r="C74" s="16">
        <v>13.18</v>
      </c>
      <c r="D74" s="16">
        <v>30.6</v>
      </c>
      <c r="E74" s="16">
        <v>149.69999999999999</v>
      </c>
      <c r="F74" s="18">
        <v>3.61E-2</v>
      </c>
      <c r="G74" s="18">
        <v>5.1499999999999997E-2</v>
      </c>
      <c r="H74" s="13">
        <f t="shared" si="32"/>
        <v>980.86323480293925</v>
      </c>
      <c r="I74" s="13">
        <f t="shared" si="33"/>
        <v>27.786732798931201</v>
      </c>
      <c r="J74" s="13">
        <f t="shared" si="34"/>
        <v>64.512444889779573</v>
      </c>
      <c r="K74" s="13">
        <f t="shared" si="25"/>
        <v>49.195636182080044</v>
      </c>
      <c r="L74" s="13">
        <f t="shared" si="26"/>
        <v>19.938013021574211</v>
      </c>
      <c r="M74" s="14">
        <f t="shared" si="35"/>
        <v>1.1501300238905665E-2</v>
      </c>
      <c r="N74" s="14">
        <f t="shared" si="40"/>
        <v>-1.4850437041867363E-2</v>
      </c>
      <c r="O74" s="15">
        <f t="shared" si="36"/>
        <v>0.35026329930145073</v>
      </c>
      <c r="P74" s="15">
        <f t="shared" si="37"/>
        <v>0.31683658570310885</v>
      </c>
      <c r="Q74" s="14">
        <f t="shared" si="38"/>
        <v>0.27168439828702229</v>
      </c>
      <c r="R74" s="14">
        <f t="shared" si="39"/>
        <v>0.24224392059699973</v>
      </c>
      <c r="T74" s="13">
        <f t="shared" si="27"/>
        <v>21.450189579941419</v>
      </c>
      <c r="U74">
        <f t="shared" si="28"/>
        <v>0.6</v>
      </c>
      <c r="V74" s="19">
        <f t="shared" si="29"/>
        <v>0.4</v>
      </c>
      <c r="W74" s="20">
        <f t="shared" si="30"/>
        <v>2.13407801433434E-2</v>
      </c>
      <c r="X74" s="21">
        <f t="shared" si="31"/>
        <v>2.13407801433434E-2</v>
      </c>
    </row>
    <row r="75" spans="1:24" ht="17.25" customHeight="1">
      <c r="A75" s="22">
        <v>1995</v>
      </c>
      <c r="B75" s="16">
        <v>614.41999999999996</v>
      </c>
      <c r="C75" s="16">
        <v>13.79</v>
      </c>
      <c r="D75" s="16">
        <v>33.96</v>
      </c>
      <c r="E75" s="16">
        <v>153.5</v>
      </c>
      <c r="F75" s="18">
        <v>7.1400000000000005E-2</v>
      </c>
      <c r="G75" s="18">
        <v>7.7799999999999994E-2</v>
      </c>
      <c r="H75" s="13">
        <f t="shared" si="32"/>
        <v>1263.2835446254073</v>
      </c>
      <c r="I75" s="13">
        <f t="shared" si="33"/>
        <v>28.353048534201957</v>
      </c>
      <c r="J75" s="13">
        <f t="shared" si="34"/>
        <v>69.823751140065156</v>
      </c>
      <c r="K75" s="13">
        <f t="shared" si="25"/>
        <v>51.959357087486374</v>
      </c>
      <c r="L75" s="13">
        <f t="shared" si="26"/>
        <v>24.31291716135668</v>
      </c>
      <c r="M75" s="14">
        <f t="shared" si="35"/>
        <v>0.35026329930145073</v>
      </c>
      <c r="N75" s="14">
        <f t="shared" si="40"/>
        <v>0.31683658570310885</v>
      </c>
      <c r="O75" s="15">
        <f t="shared" si="36"/>
        <v>0.27131278278701881</v>
      </c>
      <c r="P75" s="15">
        <f t="shared" si="37"/>
        <v>0.23043198081845748</v>
      </c>
      <c r="Q75" s="14">
        <f t="shared" si="38"/>
        <v>0.18408570268289393</v>
      </c>
      <c r="R75" s="14">
        <f t="shared" si="39"/>
        <v>0.15476859289363532</v>
      </c>
      <c r="T75" s="13">
        <f t="shared" si="27"/>
        <v>19.938013021574211</v>
      </c>
      <c r="U75">
        <f t="shared" si="28"/>
        <v>0.6</v>
      </c>
      <c r="V75" s="19">
        <f t="shared" si="29"/>
        <v>0.4</v>
      </c>
      <c r="W75" s="20">
        <f t="shared" si="30"/>
        <v>0.23871797958087043</v>
      </c>
      <c r="X75" s="21">
        <f t="shared" si="31"/>
        <v>0.23871797958087043</v>
      </c>
    </row>
    <row r="76" spans="1:24" ht="17.25" customHeight="1">
      <c r="A76" s="22">
        <v>1996</v>
      </c>
      <c r="B76" s="16">
        <v>766.22</v>
      </c>
      <c r="C76" s="16">
        <v>14.9</v>
      </c>
      <c r="D76" s="16">
        <v>38.729999999999997</v>
      </c>
      <c r="E76" s="16">
        <v>158.6</v>
      </c>
      <c r="F76" s="18">
        <v>5.3100000000000001E-2</v>
      </c>
      <c r="G76" s="18">
        <v>5.5100000000000003E-2</v>
      </c>
      <c r="H76" s="13">
        <f t="shared" si="32"/>
        <v>1524.7343196721313</v>
      </c>
      <c r="I76" s="13">
        <f t="shared" si="33"/>
        <v>29.650154476670874</v>
      </c>
      <c r="J76" s="13">
        <f t="shared" si="34"/>
        <v>77.070502206809593</v>
      </c>
      <c r="K76" s="13">
        <f t="shared" ref="K76:K107" si="41">AVERAGE(J67:J76)</f>
        <v>55.530696538936567</v>
      </c>
      <c r="L76" s="13">
        <f t="shared" ref="L76:L107" si="42">H76/K76</f>
        <v>27.457503951945395</v>
      </c>
      <c r="M76" s="14">
        <f t="shared" si="35"/>
        <v>0.27131278278701881</v>
      </c>
      <c r="N76" s="14">
        <f t="shared" si="40"/>
        <v>0.23043198081845748</v>
      </c>
      <c r="O76" s="15">
        <f t="shared" si="36"/>
        <v>0.27751820625929885</v>
      </c>
      <c r="P76" s="15">
        <f t="shared" si="37"/>
        <v>0.25613383454882077</v>
      </c>
      <c r="Q76" s="14">
        <f t="shared" si="38"/>
        <v>9.7209151964670726E-2</v>
      </c>
      <c r="R76" s="14">
        <f t="shared" si="39"/>
        <v>7.374894010752775E-2</v>
      </c>
      <c r="T76" s="13">
        <f t="shared" si="27"/>
        <v>24.31291716135668</v>
      </c>
      <c r="U76">
        <f t="shared" si="28"/>
        <v>0.6</v>
      </c>
      <c r="V76" s="19">
        <f t="shared" si="29"/>
        <v>0.4</v>
      </c>
      <c r="W76" s="20">
        <f t="shared" si="30"/>
        <v>0.18402766967221129</v>
      </c>
      <c r="X76" s="21">
        <f t="shared" si="31"/>
        <v>0.18402766967221129</v>
      </c>
    </row>
    <row r="77" spans="1:24" ht="17.25" customHeight="1">
      <c r="A77" s="22">
        <v>1997</v>
      </c>
      <c r="B77" s="16">
        <v>963.36</v>
      </c>
      <c r="C77" s="16">
        <v>15.5</v>
      </c>
      <c r="D77" s="16">
        <v>39.72</v>
      </c>
      <c r="E77" s="16">
        <v>161.30000000000001</v>
      </c>
      <c r="F77" s="18">
        <v>5.4699999999999999E-2</v>
      </c>
      <c r="G77" s="18">
        <v>6.0699999999999997E-2</v>
      </c>
      <c r="H77" s="13">
        <f t="shared" si="32"/>
        <v>1884.9425468071915</v>
      </c>
      <c r="I77" s="13">
        <f t="shared" si="33"/>
        <v>30.327820830750156</v>
      </c>
      <c r="J77" s="13">
        <f t="shared" si="34"/>
        <v>77.717486670799744</v>
      </c>
      <c r="K77" s="13">
        <f t="shared" si="41"/>
        <v>58.516407511042544</v>
      </c>
      <c r="L77" s="13">
        <f t="shared" si="42"/>
        <v>32.212205550237968</v>
      </c>
      <c r="M77" s="14">
        <f t="shared" si="35"/>
        <v>0.27751820625929885</v>
      </c>
      <c r="N77" s="14">
        <f t="shared" si="40"/>
        <v>0.25613383454882077</v>
      </c>
      <c r="O77" s="15">
        <f t="shared" si="36"/>
        <v>0.31308129878757679</v>
      </c>
      <c r="P77" s="15">
        <f t="shared" si="37"/>
        <v>0.29225145512163603</v>
      </c>
      <c r="Q77" s="14">
        <f t="shared" si="38"/>
        <v>-8.9892016745374281E-4</v>
      </c>
      <c r="R77" s="14">
        <f t="shared" si="39"/>
        <v>-2.3553195563267848E-2</v>
      </c>
      <c r="T77" s="13">
        <f t="shared" ref="T77:T104" si="43">L76</f>
        <v>27.457503951945395</v>
      </c>
      <c r="U77">
        <f t="shared" ref="U77:U108" si="44">IF(T77&lt;15,0.8,IF(T77&gt;25,0.3,0.6))</f>
        <v>0.3</v>
      </c>
      <c r="V77" s="19">
        <f t="shared" ref="V77:V108" si="45">1-U77</f>
        <v>0.7</v>
      </c>
      <c r="W77" s="20">
        <f t="shared" ref="W77:W108" si="46">U77*M77+V77*F77</f>
        <v>0.12154546187778964</v>
      </c>
      <c r="X77" s="21">
        <f t="shared" ref="X77:X104" si="47">0.6*M77+0.4*F77</f>
        <v>0.18839092375557931</v>
      </c>
    </row>
    <row r="78" spans="1:24" ht="17.25" customHeight="1">
      <c r="A78" s="22">
        <v>1998</v>
      </c>
      <c r="B78" s="16">
        <v>1248.77</v>
      </c>
      <c r="C78" s="16">
        <v>16.2</v>
      </c>
      <c r="D78" s="16">
        <v>37.700000000000003</v>
      </c>
      <c r="E78" s="16">
        <v>163.9</v>
      </c>
      <c r="F78" s="18">
        <v>5.5300000000000002E-2</v>
      </c>
      <c r="G78" s="18">
        <v>5.7700000000000001E-2</v>
      </c>
      <c r="H78" s="13">
        <f t="shared" si="32"/>
        <v>2404.6251119585113</v>
      </c>
      <c r="I78" s="13">
        <f t="shared" si="33"/>
        <v>31.194636973764492</v>
      </c>
      <c r="J78" s="13">
        <f t="shared" si="34"/>
        <v>72.594926784624775</v>
      </c>
      <c r="K78" s="13">
        <f t="shared" si="41"/>
        <v>59.552850562949004</v>
      </c>
      <c r="L78" s="13">
        <f t="shared" si="42"/>
        <v>40.378001879469338</v>
      </c>
      <c r="M78" s="14">
        <f t="shared" si="35"/>
        <v>0.31308129878757679</v>
      </c>
      <c r="N78" s="14">
        <f t="shared" si="40"/>
        <v>0.29225145512163603</v>
      </c>
      <c r="O78" s="15">
        <f t="shared" si="36"/>
        <v>0.15496048111341554</v>
      </c>
      <c r="P78" s="15">
        <f t="shared" si="37"/>
        <v>0.12476543585554851</v>
      </c>
      <c r="Q78" s="14">
        <f t="shared" si="38"/>
        <v>-1.4565287901118551E-2</v>
      </c>
      <c r="R78" s="14">
        <f t="shared" si="39"/>
        <v>-3.7416129922412833E-2</v>
      </c>
      <c r="T78" s="13">
        <f t="shared" si="43"/>
        <v>32.212205550237968</v>
      </c>
      <c r="U78">
        <f t="shared" si="44"/>
        <v>0.3</v>
      </c>
      <c r="V78" s="19">
        <f t="shared" si="45"/>
        <v>0.7</v>
      </c>
      <c r="W78" s="20">
        <f t="shared" si="46"/>
        <v>0.13263438963627303</v>
      </c>
      <c r="X78" s="21">
        <f t="shared" si="47"/>
        <v>0.20996877927254606</v>
      </c>
    </row>
    <row r="79" spans="1:24" ht="17.25" customHeight="1">
      <c r="A79" s="22">
        <v>1999</v>
      </c>
      <c r="B79" s="16">
        <v>1425.59</v>
      </c>
      <c r="C79" s="16">
        <v>16.690000000000001</v>
      </c>
      <c r="D79" s="16">
        <v>48.17</v>
      </c>
      <c r="E79" s="16">
        <v>168.3</v>
      </c>
      <c r="F79" s="18">
        <v>4.5199999999999997E-2</v>
      </c>
      <c r="G79" s="18">
        <v>4.4499999999999998E-2</v>
      </c>
      <c r="H79" s="13">
        <f t="shared" si="32"/>
        <v>2673.3412474747474</v>
      </c>
      <c r="I79" s="13">
        <f t="shared" si="33"/>
        <v>31.297964646464649</v>
      </c>
      <c r="J79" s="13">
        <f t="shared" si="34"/>
        <v>90.330914141414155</v>
      </c>
      <c r="K79" s="13">
        <f t="shared" si="41"/>
        <v>62.862003555203025</v>
      </c>
      <c r="L79" s="13">
        <f t="shared" si="42"/>
        <v>42.527140343643687</v>
      </c>
      <c r="M79" s="14">
        <f t="shared" si="35"/>
        <v>0.15496048111341554</v>
      </c>
      <c r="N79" s="14">
        <f t="shared" si="40"/>
        <v>0.12476543585554851</v>
      </c>
      <c r="O79" s="15">
        <f t="shared" si="36"/>
        <v>-5.4987759453980364E-2</v>
      </c>
      <c r="P79" s="15">
        <f t="shared" si="37"/>
        <v>-8.5945056989108565E-2</v>
      </c>
      <c r="Q79" s="14">
        <f t="shared" si="38"/>
        <v>-1.9259698277901749E-2</v>
      </c>
      <c r="R79" s="14">
        <f t="shared" si="39"/>
        <v>-4.3063571080139362E-2</v>
      </c>
      <c r="T79" s="13">
        <f t="shared" si="43"/>
        <v>40.378001879469338</v>
      </c>
      <c r="U79">
        <f t="shared" si="44"/>
        <v>0.3</v>
      </c>
      <c r="V79" s="19">
        <f t="shared" si="45"/>
        <v>0.7</v>
      </c>
      <c r="W79" s="20">
        <f t="shared" si="46"/>
        <v>7.8128144334024652E-2</v>
      </c>
      <c r="X79" s="21">
        <f t="shared" si="47"/>
        <v>0.11105628866804931</v>
      </c>
    </row>
    <row r="80" spans="1:24" ht="17.25" customHeight="1">
      <c r="A80" s="22">
        <v>2000</v>
      </c>
      <c r="B80" s="16">
        <v>1330.93</v>
      </c>
      <c r="C80" s="16">
        <v>16.27</v>
      </c>
      <c r="D80" s="16">
        <v>50</v>
      </c>
      <c r="E80" s="16">
        <v>174</v>
      </c>
      <c r="F80" s="18">
        <v>5.8400000000000001E-2</v>
      </c>
      <c r="G80" s="18">
        <v>6.1899999999999997E-2</v>
      </c>
      <c r="H80" s="13">
        <f t="shared" si="32"/>
        <v>2414.0699002873566</v>
      </c>
      <c r="I80" s="13">
        <f t="shared" si="33"/>
        <v>29.510881321839079</v>
      </c>
      <c r="J80" s="13">
        <f t="shared" si="34"/>
        <v>90.691091954022994</v>
      </c>
      <c r="K80" s="13">
        <f t="shared" si="41"/>
        <v>66.897472466599339</v>
      </c>
      <c r="L80" s="13">
        <f t="shared" si="42"/>
        <v>36.086115233914953</v>
      </c>
      <c r="M80" s="14">
        <f t="shared" si="35"/>
        <v>-5.4987759453980364E-2</v>
      </c>
      <c r="N80" s="14">
        <f t="shared" si="40"/>
        <v>-8.5945056989108565E-2</v>
      </c>
      <c r="O80" s="15">
        <f t="shared" si="36"/>
        <v>-0.13147197824077902</v>
      </c>
      <c r="P80" s="15">
        <f t="shared" si="37"/>
        <v>-0.14474320437971439</v>
      </c>
      <c r="Q80" s="14">
        <f t="shared" si="38"/>
        <v>5.5880583831338093E-3</v>
      </c>
      <c r="R80" s="14">
        <f t="shared" si="39"/>
        <v>-1.8873653344566144E-2</v>
      </c>
      <c r="T80" s="13">
        <f t="shared" si="43"/>
        <v>42.527140343643687</v>
      </c>
      <c r="U80">
        <f t="shared" si="44"/>
        <v>0.3</v>
      </c>
      <c r="V80" s="19">
        <f t="shared" si="45"/>
        <v>0.7</v>
      </c>
      <c r="W80" s="20">
        <f t="shared" si="46"/>
        <v>2.4383672163805891E-2</v>
      </c>
      <c r="X80" s="21">
        <f t="shared" si="47"/>
        <v>-9.6326556723882149E-3</v>
      </c>
    </row>
    <row r="81" spans="1:24" ht="17.25" customHeight="1">
      <c r="A81" s="22">
        <v>2001</v>
      </c>
      <c r="B81" s="16">
        <v>1140.21</v>
      </c>
      <c r="C81" s="16">
        <v>15.74</v>
      </c>
      <c r="D81" s="16">
        <v>24.69</v>
      </c>
      <c r="E81" s="16">
        <v>176.7</v>
      </c>
      <c r="F81" s="18">
        <v>5.6000000000000001E-2</v>
      </c>
      <c r="G81" s="18">
        <v>5.1700000000000003E-2</v>
      </c>
      <c r="H81" s="13">
        <f t="shared" si="32"/>
        <v>2036.5363726655353</v>
      </c>
      <c r="I81" s="13">
        <f t="shared" si="33"/>
        <v>28.113314657611774</v>
      </c>
      <c r="J81" s="13">
        <f t="shared" si="34"/>
        <v>44.098966893039062</v>
      </c>
      <c r="K81" s="13">
        <f t="shared" si="41"/>
        <v>67.666125102241182</v>
      </c>
      <c r="L81" s="13">
        <f t="shared" si="42"/>
        <v>30.096837517862877</v>
      </c>
      <c r="M81" s="14">
        <f t="shared" si="35"/>
        <v>-0.13147197824077902</v>
      </c>
      <c r="N81" s="14">
        <f t="shared" si="40"/>
        <v>-0.14474320437971439</v>
      </c>
      <c r="O81" s="15">
        <f t="shared" si="36"/>
        <v>-0.20022627410740126</v>
      </c>
      <c r="P81" s="15">
        <f t="shared" si="37"/>
        <v>-0.21879481832381323</v>
      </c>
      <c r="Q81" s="14">
        <f t="shared" si="38"/>
        <v>6.2178555204398744E-2</v>
      </c>
      <c r="R81" s="14">
        <f t="shared" si="39"/>
        <v>3.4333537353518961E-2</v>
      </c>
      <c r="T81" s="13">
        <f t="shared" si="43"/>
        <v>36.086115233914953</v>
      </c>
      <c r="U81">
        <f t="shared" si="44"/>
        <v>0.3</v>
      </c>
      <c r="V81" s="19">
        <f t="shared" si="45"/>
        <v>0.7</v>
      </c>
      <c r="W81" s="20">
        <f t="shared" si="46"/>
        <v>-2.4159347223370875E-4</v>
      </c>
      <c r="X81" s="21">
        <f t="shared" si="47"/>
        <v>-5.6483186944467412E-2</v>
      </c>
    </row>
    <row r="82" spans="1:24" ht="17.25" customHeight="1">
      <c r="A82" s="22">
        <v>2002</v>
      </c>
      <c r="B82" s="16">
        <v>895.84</v>
      </c>
      <c r="C82" s="23">
        <v>16.07</v>
      </c>
      <c r="D82" s="16">
        <v>27.59</v>
      </c>
      <c r="E82" s="16">
        <v>180.9</v>
      </c>
      <c r="F82" s="18">
        <v>2.2200000000000001E-2</v>
      </c>
      <c r="G82" s="18">
        <v>4.3900000000000002E-2</v>
      </c>
      <c r="H82" s="13">
        <f t="shared" si="32"/>
        <v>1562.9164355997791</v>
      </c>
      <c r="I82" s="13">
        <f t="shared" si="33"/>
        <v>28.036331398562741</v>
      </c>
      <c r="J82" s="13">
        <f t="shared" si="34"/>
        <v>48.134560254284132</v>
      </c>
      <c r="K82" s="13">
        <f t="shared" si="41"/>
        <v>68.23370413683098</v>
      </c>
      <c r="L82" s="13">
        <f t="shared" si="42"/>
        <v>22.905343559622946</v>
      </c>
      <c r="M82" s="14">
        <f t="shared" si="35"/>
        <v>-0.20022627410740126</v>
      </c>
      <c r="N82" s="14">
        <f t="shared" si="40"/>
        <v>-0.21879481832381323</v>
      </c>
      <c r="O82" s="15">
        <f t="shared" si="36"/>
        <v>0.22569878549741029</v>
      </c>
      <c r="P82" s="15">
        <f t="shared" si="37"/>
        <v>0.20308687084363267</v>
      </c>
      <c r="Q82" s="14">
        <f t="shared" si="38"/>
        <v>0.12456732579145813</v>
      </c>
      <c r="R82" s="14">
        <f t="shared" si="39"/>
        <v>9.1476592963270154E-2</v>
      </c>
      <c r="T82" s="13">
        <f t="shared" si="43"/>
        <v>30.096837517862877</v>
      </c>
      <c r="U82">
        <f t="shared" si="44"/>
        <v>0.3</v>
      </c>
      <c r="V82" s="19">
        <f t="shared" si="45"/>
        <v>0.7</v>
      </c>
      <c r="W82" s="20">
        <f t="shared" si="46"/>
        <v>-4.452788223222038E-2</v>
      </c>
      <c r="X82" s="21">
        <f t="shared" si="47"/>
        <v>-0.11125576446444076</v>
      </c>
    </row>
    <row r="83" spans="1:24" ht="17.25" customHeight="1">
      <c r="A83" s="22">
        <v>2003</v>
      </c>
      <c r="B83" s="23">
        <v>1080.6400000000001</v>
      </c>
      <c r="C83" s="23">
        <v>17.39</v>
      </c>
      <c r="D83" s="16">
        <v>48.74</v>
      </c>
      <c r="E83" s="16">
        <v>184.3</v>
      </c>
      <c r="F83" s="18">
        <v>1.4500000000000001E-2</v>
      </c>
      <c r="G83" s="18">
        <v>3.0300000000000001E-2</v>
      </c>
      <c r="H83" s="13">
        <f t="shared" si="32"/>
        <v>1850.5446945198048</v>
      </c>
      <c r="I83" s="13">
        <f t="shared" si="33"/>
        <v>29.779549376017364</v>
      </c>
      <c r="J83" s="13">
        <f t="shared" si="34"/>
        <v>83.464935973955519</v>
      </c>
      <c r="K83" s="13">
        <f t="shared" si="41"/>
        <v>71.843958090879468</v>
      </c>
      <c r="L83" s="13">
        <f t="shared" si="42"/>
        <v>25.757833277767723</v>
      </c>
      <c r="M83" s="14">
        <f t="shared" si="35"/>
        <v>0.22569878549741029</v>
      </c>
      <c r="N83" s="14">
        <f t="shared" si="40"/>
        <v>0.20308687084363267</v>
      </c>
      <c r="O83" s="15">
        <f t="shared" si="36"/>
        <v>0.12771135623334312</v>
      </c>
      <c r="P83" s="15">
        <f t="shared" si="37"/>
        <v>9.2155559399921858E-2</v>
      </c>
      <c r="Q83" s="14">
        <f t="shared" si="38"/>
        <v>-2.1134546129060294E-2</v>
      </c>
      <c r="R83" s="14">
        <f t="shared" si="39"/>
        <v>-4.6567488661511613E-2</v>
      </c>
      <c r="T83" s="13">
        <f t="shared" si="43"/>
        <v>22.905343559622946</v>
      </c>
      <c r="U83">
        <f t="shared" si="44"/>
        <v>0.6</v>
      </c>
      <c r="V83" s="19">
        <f t="shared" si="45"/>
        <v>0.4</v>
      </c>
      <c r="W83" s="20">
        <f t="shared" si="46"/>
        <v>0.14121927129844616</v>
      </c>
      <c r="X83" s="21">
        <f t="shared" si="47"/>
        <v>0.14121927129844616</v>
      </c>
    </row>
    <row r="84" spans="1:24" ht="17.25" customHeight="1">
      <c r="A84" s="22">
        <v>2004</v>
      </c>
      <c r="B84" s="23">
        <v>1199.21</v>
      </c>
      <c r="C84" s="23">
        <v>19.440000000000001</v>
      </c>
      <c r="D84" s="16">
        <v>58.55</v>
      </c>
      <c r="E84" s="16">
        <v>190.3</v>
      </c>
      <c r="F84" s="18">
        <v>1.3100000000000001E-2</v>
      </c>
      <c r="G84" s="18">
        <v>3.27E-2</v>
      </c>
      <c r="H84" s="13">
        <f t="shared" si="32"/>
        <v>1988.8422073042564</v>
      </c>
      <c r="I84" s="13">
        <f t="shared" si="33"/>
        <v>32.24046873357856</v>
      </c>
      <c r="J84" s="13">
        <f t="shared" si="34"/>
        <v>97.102852075669986</v>
      </c>
      <c r="K84" s="13">
        <f t="shared" si="41"/>
        <v>75.102998809468517</v>
      </c>
      <c r="L84" s="13">
        <f t="shared" si="42"/>
        <v>26.481528551873424</v>
      </c>
      <c r="M84" s="14">
        <f t="shared" si="35"/>
        <v>0.12771135623334312</v>
      </c>
      <c r="N84" s="14">
        <f t="shared" si="40"/>
        <v>9.2155559399921858E-2</v>
      </c>
      <c r="O84" s="15">
        <f t="shared" si="36"/>
        <v>7.0946706581832955E-2</v>
      </c>
      <c r="P84" s="15">
        <f t="shared" si="37"/>
        <v>3.5574991171355812E-2</v>
      </c>
      <c r="Q84" s="14">
        <f t="shared" si="38"/>
        <v>5.6756347647330951E-3</v>
      </c>
      <c r="R84" s="14">
        <f t="shared" si="39"/>
        <v>-1.9437124890895774E-2</v>
      </c>
      <c r="T84" s="13">
        <f t="shared" si="43"/>
        <v>25.757833277767723</v>
      </c>
      <c r="U84">
        <f t="shared" si="44"/>
        <v>0.3</v>
      </c>
      <c r="V84" s="19">
        <f t="shared" si="45"/>
        <v>0.7</v>
      </c>
      <c r="W84" s="20">
        <f t="shared" si="46"/>
        <v>4.748340687000293E-2</v>
      </c>
      <c r="X84" s="21">
        <f t="shared" si="47"/>
        <v>8.1866813740005859E-2</v>
      </c>
    </row>
    <row r="85" spans="1:24" ht="17.25" customHeight="1">
      <c r="A85" s="22">
        <v>2005</v>
      </c>
      <c r="B85" s="16">
        <v>1262.07</v>
      </c>
      <c r="C85" s="16">
        <v>22.22</v>
      </c>
      <c r="D85" s="16">
        <v>69.930000000000007</v>
      </c>
      <c r="E85" s="16">
        <v>196.8</v>
      </c>
      <c r="F85" s="18">
        <v>2.6700000000000002E-2</v>
      </c>
      <c r="G85" s="18">
        <v>3.5999999999999997E-2</v>
      </c>
      <c r="H85" s="13">
        <f t="shared" si="32"/>
        <v>2023.9613940548779</v>
      </c>
      <c r="I85" s="13">
        <f t="shared" si="33"/>
        <v>35.633857215447158</v>
      </c>
      <c r="J85" s="13">
        <f t="shared" si="34"/>
        <v>112.14561814024391</v>
      </c>
      <c r="K85" s="13">
        <f t="shared" si="41"/>
        <v>79.335185509486365</v>
      </c>
      <c r="L85" s="13">
        <f t="shared" si="42"/>
        <v>25.511522801101489</v>
      </c>
      <c r="M85" s="14">
        <f t="shared" si="35"/>
        <v>7.0946706581832955E-2</v>
      </c>
      <c r="N85" s="14">
        <f t="shared" si="40"/>
        <v>3.5574991171355812E-2</v>
      </c>
      <c r="O85" s="15">
        <f t="shared" si="36"/>
        <v>0.14201272512618171</v>
      </c>
      <c r="P85" s="15">
        <f t="shared" si="37"/>
        <v>0.11371706791294628</v>
      </c>
      <c r="Q85" s="14">
        <f t="shared" si="38"/>
        <v>1.8069225625482188E-2</v>
      </c>
      <c r="R85" s="14">
        <f t="shared" si="39"/>
        <v>-3.6256465895780909E-3</v>
      </c>
      <c r="T85" s="13">
        <f t="shared" si="43"/>
        <v>26.481528551873424</v>
      </c>
      <c r="U85">
        <f t="shared" si="44"/>
        <v>0.3</v>
      </c>
      <c r="V85" s="19">
        <f t="shared" si="45"/>
        <v>0.7</v>
      </c>
      <c r="W85" s="20">
        <f t="shared" si="46"/>
        <v>3.9974011974549889E-2</v>
      </c>
      <c r="X85" s="21">
        <f t="shared" si="47"/>
        <v>5.3248023949099776E-2</v>
      </c>
    </row>
    <row r="86" spans="1:24" ht="17.25" customHeight="1">
      <c r="A86" s="22">
        <v>2006</v>
      </c>
      <c r="B86" s="16">
        <v>1416.42</v>
      </c>
      <c r="C86" s="16">
        <v>24.88</v>
      </c>
      <c r="D86" s="16">
        <v>81.510000000000005</v>
      </c>
      <c r="E86" s="16">
        <v>201.8</v>
      </c>
      <c r="F86" s="18">
        <v>4.3499999999999997E-2</v>
      </c>
      <c r="G86" s="18">
        <v>4.3900000000000002E-2</v>
      </c>
      <c r="H86" s="13">
        <f t="shared" si="32"/>
        <v>2215.2092869177404</v>
      </c>
      <c r="I86" s="13">
        <f t="shared" si="33"/>
        <v>38.911062438057485</v>
      </c>
      <c r="J86" s="13">
        <f t="shared" si="34"/>
        <v>127.47752006937563</v>
      </c>
      <c r="K86" s="13">
        <f t="shared" si="41"/>
        <v>84.37588729574297</v>
      </c>
      <c r="L86" s="13">
        <f t="shared" si="42"/>
        <v>26.254056199175576</v>
      </c>
      <c r="M86" s="14">
        <f t="shared" si="35"/>
        <v>0.14201272512618171</v>
      </c>
      <c r="N86" s="14">
        <f t="shared" si="40"/>
        <v>0.11371706791294628</v>
      </c>
      <c r="O86" s="15">
        <f t="shared" si="36"/>
        <v>6.3914658081642414E-2</v>
      </c>
      <c r="P86" s="15">
        <f t="shared" si="37"/>
        <v>2.2196090198230045E-2</v>
      </c>
      <c r="Q86" s="14">
        <f t="shared" si="38"/>
        <v>-4.1468034153402389E-3</v>
      </c>
      <c r="R86" s="14">
        <f t="shared" si="39"/>
        <v>-2.6168051005955983E-2</v>
      </c>
      <c r="T86" s="13">
        <f t="shared" si="43"/>
        <v>25.511522801101489</v>
      </c>
      <c r="U86">
        <f t="shared" si="44"/>
        <v>0.3</v>
      </c>
      <c r="V86" s="19">
        <f t="shared" si="45"/>
        <v>0.7</v>
      </c>
      <c r="W86" s="20">
        <f t="shared" si="46"/>
        <v>7.3053817537854504E-2</v>
      </c>
      <c r="X86" s="21">
        <f t="shared" si="47"/>
        <v>0.10260763507570902</v>
      </c>
    </row>
    <row r="87" spans="1:24" ht="17.25" customHeight="1">
      <c r="A87" s="22">
        <v>2007</v>
      </c>
      <c r="B87" s="16">
        <v>1479.22</v>
      </c>
      <c r="C87" s="16">
        <v>27.73</v>
      </c>
      <c r="D87" s="16">
        <v>66.180000000000007</v>
      </c>
      <c r="E87" s="16">
        <v>210.036</v>
      </c>
      <c r="F87" s="18">
        <v>4.9399999999999999E-2</v>
      </c>
      <c r="G87" s="18">
        <v>4.53E-2</v>
      </c>
      <c r="H87" s="13">
        <f t="shared" si="32"/>
        <v>2222.7105262907312</v>
      </c>
      <c r="I87" s="13">
        <f t="shared" si="33"/>
        <v>41.667745767392262</v>
      </c>
      <c r="J87" s="13">
        <f t="shared" si="34"/>
        <v>99.44361395189398</v>
      </c>
      <c r="K87" s="13">
        <f t="shared" si="41"/>
        <v>86.548500023852412</v>
      </c>
      <c r="L87" s="13">
        <f t="shared" si="42"/>
        <v>25.681675888988963</v>
      </c>
      <c r="M87" s="14">
        <f t="shared" si="35"/>
        <v>6.3914658081642414E-2</v>
      </c>
      <c r="N87" s="14">
        <f t="shared" si="40"/>
        <v>2.2196090198230045E-2</v>
      </c>
      <c r="O87" s="15">
        <f t="shared" si="36"/>
        <v>-0.38754884330931172</v>
      </c>
      <c r="P87" s="15">
        <f t="shared" si="37"/>
        <v>-0.38810819136040203</v>
      </c>
      <c r="Q87" s="14">
        <f t="shared" si="38"/>
        <v>1.48054170695473E-2</v>
      </c>
      <c r="R87" s="14">
        <f t="shared" si="39"/>
        <v>-3.1110787868061651E-3</v>
      </c>
      <c r="T87" s="13">
        <f t="shared" si="43"/>
        <v>26.254056199175576</v>
      </c>
      <c r="U87">
        <f t="shared" si="44"/>
        <v>0.3</v>
      </c>
      <c r="V87" s="19">
        <f t="shared" si="45"/>
        <v>0.7</v>
      </c>
      <c r="W87" s="20">
        <f t="shared" si="46"/>
        <v>5.3754397424492728E-2</v>
      </c>
      <c r="X87" s="21">
        <f t="shared" si="47"/>
        <v>5.810879484898545E-2</v>
      </c>
    </row>
    <row r="88" spans="1:24" ht="17.25" customHeight="1">
      <c r="A88" s="22">
        <v>2008</v>
      </c>
      <c r="B88" s="24">
        <v>877.56</v>
      </c>
      <c r="C88" s="16">
        <v>28.39</v>
      </c>
      <c r="D88" s="16">
        <v>26.16</v>
      </c>
      <c r="E88" s="16">
        <v>210.22800000000001</v>
      </c>
      <c r="F88" s="18">
        <v>3.2599999999999997E-2</v>
      </c>
      <c r="G88" s="18">
        <v>3.49E-2</v>
      </c>
      <c r="H88" s="13">
        <f t="shared" si="32"/>
        <v>1317.4378474798789</v>
      </c>
      <c r="I88" s="13">
        <f t="shared" si="33"/>
        <v>42.620516534429292</v>
      </c>
      <c r="J88" s="13">
        <f t="shared" si="34"/>
        <v>39.272726753810147</v>
      </c>
      <c r="K88" s="13">
        <f t="shared" si="41"/>
        <v>83.216280020770952</v>
      </c>
      <c r="L88" s="13">
        <f t="shared" si="42"/>
        <v>15.831491712331333</v>
      </c>
      <c r="M88" s="14">
        <f t="shared" si="35"/>
        <v>-0.38754884330931172</v>
      </c>
      <c r="N88" s="14">
        <f t="shared" si="40"/>
        <v>-0.38810819136040203</v>
      </c>
      <c r="O88" s="15">
        <f t="shared" si="36"/>
        <v>0.29084051232964148</v>
      </c>
      <c r="P88" s="15">
        <f t="shared" si="37"/>
        <v>0.25664309270260965</v>
      </c>
      <c r="Q88" s="14">
        <f t="shared" si="38"/>
        <v>0.17886773205883988</v>
      </c>
      <c r="R88" s="14">
        <f t="shared" si="39"/>
        <v>0.15481852861170498</v>
      </c>
      <c r="T88" s="13">
        <f t="shared" si="43"/>
        <v>25.681675888988963</v>
      </c>
      <c r="U88">
        <f t="shared" si="44"/>
        <v>0.3</v>
      </c>
      <c r="V88" s="19">
        <f t="shared" si="45"/>
        <v>0.7</v>
      </c>
      <c r="W88" s="20">
        <f t="shared" si="46"/>
        <v>-9.3444652992793517E-2</v>
      </c>
      <c r="X88" s="21">
        <f t="shared" si="47"/>
        <v>-0.21948930598558702</v>
      </c>
    </row>
    <row r="89" spans="1:24" ht="17.25" customHeight="1">
      <c r="A89" s="22">
        <v>2009</v>
      </c>
      <c r="B89" s="16">
        <v>1110.3800000000001</v>
      </c>
      <c r="C89" s="16">
        <v>22.41</v>
      </c>
      <c r="D89" s="16">
        <v>50.97</v>
      </c>
      <c r="E89" s="16">
        <v>215.94900000000001</v>
      </c>
      <c r="F89" s="18">
        <v>4.8999999999999998E-3</v>
      </c>
      <c r="G89" s="18">
        <v>1.52E-2</v>
      </c>
      <c r="H89" s="13">
        <f t="shared" si="32"/>
        <v>1622.7974192980751</v>
      </c>
      <c r="I89" s="13">
        <f t="shared" si="33"/>
        <v>32.751751802508927</v>
      </c>
      <c r="J89" s="13">
        <f t="shared" si="34"/>
        <v>74.491601489240509</v>
      </c>
      <c r="K89" s="13">
        <f t="shared" si="41"/>
        <v>81.632348755553579</v>
      </c>
      <c r="L89" s="13">
        <f t="shared" si="42"/>
        <v>19.879342491510432</v>
      </c>
      <c r="M89" s="14">
        <f t="shared" si="35"/>
        <v>0.29084051232964148</v>
      </c>
      <c r="N89" s="14">
        <f t="shared" si="40"/>
        <v>0.25664309270260965</v>
      </c>
      <c r="O89" s="15">
        <f t="shared" si="36"/>
        <v>0.13858318773753114</v>
      </c>
      <c r="P89" s="15">
        <f t="shared" si="37"/>
        <v>0.12180409988517221</v>
      </c>
      <c r="Q89" s="14">
        <f t="shared" si="38"/>
        <v>0.15357212439036139</v>
      </c>
      <c r="R89" s="14">
        <f t="shared" si="39"/>
        <v>0.13441232122591296</v>
      </c>
      <c r="T89" s="13">
        <f t="shared" si="43"/>
        <v>15.831491712331333</v>
      </c>
      <c r="U89">
        <f t="shared" si="44"/>
        <v>0.6</v>
      </c>
      <c r="V89" s="19">
        <f t="shared" si="45"/>
        <v>0.4</v>
      </c>
      <c r="W89" s="20">
        <f t="shared" si="46"/>
        <v>0.17646430739778488</v>
      </c>
      <c r="X89" s="21">
        <f t="shared" si="47"/>
        <v>0.17646430739778488</v>
      </c>
    </row>
    <row r="90" spans="1:24" ht="17.25" customHeight="1">
      <c r="A90" s="22">
        <v>2010</v>
      </c>
      <c r="B90" s="16">
        <v>1241.53</v>
      </c>
      <c r="C90" s="23">
        <v>22.73</v>
      </c>
      <c r="D90" s="16">
        <v>77.349999999999994</v>
      </c>
      <c r="E90" s="23">
        <v>219.179</v>
      </c>
      <c r="F90" s="18">
        <v>3.7000000000000002E-3</v>
      </c>
      <c r="G90" s="18">
        <v>2.3400000000000001E-2</v>
      </c>
      <c r="H90" s="13">
        <f t="shared" si="32"/>
        <v>1787.7309215298912</v>
      </c>
      <c r="I90" s="13">
        <f t="shared" si="33"/>
        <v>32.729876721766232</v>
      </c>
      <c r="J90" s="13">
        <f t="shared" si="34"/>
        <v>111.37949689523174</v>
      </c>
      <c r="K90" s="13">
        <f t="shared" si="41"/>
        <v>83.701189249674485</v>
      </c>
      <c r="L90" s="13">
        <f t="shared" si="42"/>
        <v>21.358488900285771</v>
      </c>
      <c r="M90" s="14">
        <f t="shared" si="35"/>
        <v>0.13858318773753114</v>
      </c>
      <c r="N90" s="14">
        <f t="shared" si="40"/>
        <v>0.12180409988517221</v>
      </c>
      <c r="O90" s="15">
        <f t="shared" si="36"/>
        <v>2.2730018606074733E-2</v>
      </c>
      <c r="P90" s="15">
        <f t="shared" si="37"/>
        <v>-6.6958118505580592E-3</v>
      </c>
      <c r="Q90" s="14">
        <f t="shared" si="38"/>
        <v>0.12870239452356413</v>
      </c>
      <c r="R90" s="14">
        <f t="shared" si="39"/>
        <v>0.11163912675635657</v>
      </c>
      <c r="T90" s="13">
        <f t="shared" si="43"/>
        <v>19.879342491510432</v>
      </c>
      <c r="U90">
        <f t="shared" si="44"/>
        <v>0.6</v>
      </c>
      <c r="V90" s="19">
        <f t="shared" si="45"/>
        <v>0.4</v>
      </c>
      <c r="W90" s="20">
        <f t="shared" si="46"/>
        <v>8.4629912642518679E-2</v>
      </c>
      <c r="X90" s="21">
        <f t="shared" si="47"/>
        <v>8.4629912642518679E-2</v>
      </c>
    </row>
    <row r="91" spans="1:24" ht="17.25" customHeight="1">
      <c r="A91" s="22">
        <v>2011</v>
      </c>
      <c r="B91" s="23">
        <v>1243.32</v>
      </c>
      <c r="C91" s="23">
        <v>26.43</v>
      </c>
      <c r="D91" s="23">
        <v>86.95</v>
      </c>
      <c r="E91" s="23">
        <v>225.672</v>
      </c>
      <c r="F91" s="18">
        <v>2.8999999999999998E-3</v>
      </c>
      <c r="G91" s="18">
        <v>1.9300000000000001E-2</v>
      </c>
      <c r="H91" s="13">
        <f t="shared" si="32"/>
        <v>1738.7979394873978</v>
      </c>
      <c r="I91" s="13">
        <f t="shared" si="33"/>
        <v>36.962672152504524</v>
      </c>
      <c r="J91" s="13">
        <f t="shared" si="34"/>
        <v>121.60061837534123</v>
      </c>
      <c r="K91" s="13">
        <f t="shared" si="41"/>
        <v>91.45135439790468</v>
      </c>
      <c r="L91" s="13">
        <f t="shared" si="42"/>
        <v>19.013364547034385</v>
      </c>
      <c r="M91" s="14">
        <f t="shared" si="35"/>
        <v>2.2730018606074733E-2</v>
      </c>
      <c r="N91" s="14">
        <f t="shared" si="40"/>
        <v>-6.6958118505580592E-3</v>
      </c>
      <c r="O91" s="15">
        <f t="shared" si="36"/>
        <v>0.16907956117491879</v>
      </c>
      <c r="P91" s="15">
        <f t="shared" si="37"/>
        <v>0.14907392707116376</v>
      </c>
      <c r="Q91" s="14">
        <f t="shared" si="38"/>
        <v>0.14857458584827898</v>
      </c>
      <c r="R91" s="14">
        <f t="shared" si="39"/>
        <v>0.13317183531008769</v>
      </c>
      <c r="T91" s="13">
        <f t="shared" si="43"/>
        <v>21.358488900285771</v>
      </c>
      <c r="U91">
        <f t="shared" si="44"/>
        <v>0.6</v>
      </c>
      <c r="V91" s="19">
        <f t="shared" si="45"/>
        <v>0.4</v>
      </c>
      <c r="W91" s="20">
        <f t="shared" si="46"/>
        <v>1.4798011163644839E-2</v>
      </c>
      <c r="X91" s="21">
        <f t="shared" si="47"/>
        <v>1.4798011163644839E-2</v>
      </c>
    </row>
    <row r="92" spans="1:24" ht="17.25" customHeight="1">
      <c r="A92" s="22">
        <v>2012</v>
      </c>
      <c r="B92" s="23">
        <v>1422.29</v>
      </c>
      <c r="C92" s="23">
        <v>31.25</v>
      </c>
      <c r="D92" s="23">
        <v>86.51</v>
      </c>
      <c r="E92" s="23">
        <v>229.601</v>
      </c>
      <c r="F92" s="18">
        <v>1.1999999999999999E-3</v>
      </c>
      <c r="G92" s="18">
        <v>8.8999999999999999E-3</v>
      </c>
      <c r="H92" s="13">
        <f t="shared" si="32"/>
        <v>1955.0517438948439</v>
      </c>
      <c r="I92" s="13">
        <f t="shared" si="33"/>
        <v>42.955632815188082</v>
      </c>
      <c r="J92" s="13">
        <f t="shared" si="34"/>
        <v>118.91493743494151</v>
      </c>
      <c r="K92" s="13">
        <f t="shared" si="41"/>
        <v>98.529392115970438</v>
      </c>
      <c r="L92" s="13">
        <f t="shared" si="42"/>
        <v>19.842320163649454</v>
      </c>
      <c r="M92" s="14">
        <f t="shared" si="35"/>
        <v>0.16907956117491879</v>
      </c>
      <c r="N92" s="14">
        <f t="shared" si="40"/>
        <v>0.14907392707116376</v>
      </c>
      <c r="O92" s="15">
        <f t="shared" si="36"/>
        <v>0.29563591110111159</v>
      </c>
      <c r="P92" s="15">
        <f t="shared" si="37"/>
        <v>0.27646675516619368</v>
      </c>
      <c r="Q92" s="14">
        <f t="shared" si="38"/>
        <v>0.15606613857698792</v>
      </c>
      <c r="R92" s="14">
        <f t="shared" si="39"/>
        <v>0.13973948631757693</v>
      </c>
      <c r="T92" s="13">
        <f t="shared" si="43"/>
        <v>19.013364547034385</v>
      </c>
      <c r="U92">
        <f t="shared" si="44"/>
        <v>0.6</v>
      </c>
      <c r="V92" s="19">
        <f t="shared" si="45"/>
        <v>0.4</v>
      </c>
      <c r="W92" s="20">
        <f t="shared" si="46"/>
        <v>0.10192773670495127</v>
      </c>
      <c r="X92" s="21">
        <f t="shared" si="47"/>
        <v>0.10192773670495127</v>
      </c>
    </row>
    <row r="93" spans="1:24" ht="17.25" customHeight="1">
      <c r="A93" s="22">
        <v>2013</v>
      </c>
      <c r="B93" s="16">
        <v>1807.78</v>
      </c>
      <c r="C93" s="16">
        <v>34.99</v>
      </c>
      <c r="D93" s="16">
        <v>100.2</v>
      </c>
      <c r="E93" s="16">
        <v>233.04900000000001</v>
      </c>
      <c r="F93" s="18">
        <v>1.6000000000000001E-3</v>
      </c>
      <c r="G93" s="18">
        <v>7.0000000000000001E-3</v>
      </c>
      <c r="H93" s="13">
        <f t="shared" si="32"/>
        <v>2448.1735896742744</v>
      </c>
      <c r="I93" s="13">
        <f t="shared" si="33"/>
        <v>47.384966037185315</v>
      </c>
      <c r="J93" s="13">
        <f t="shared" si="34"/>
        <v>135.69515852889307</v>
      </c>
      <c r="K93" s="13">
        <f t="shared" si="41"/>
        <v>103.7524143714642</v>
      </c>
      <c r="L93" s="13">
        <f t="shared" si="42"/>
        <v>23.59630476558446</v>
      </c>
      <c r="M93" s="14">
        <f t="shared" si="35"/>
        <v>0.29563591110111159</v>
      </c>
      <c r="N93" s="14">
        <f t="shared" si="40"/>
        <v>0.27646675516619368</v>
      </c>
      <c r="O93" s="15">
        <f t="shared" si="36"/>
        <v>0.15816636980163515</v>
      </c>
      <c r="P93" s="15">
        <f t="shared" si="37"/>
        <v>0.14947070130956375</v>
      </c>
      <c r="Q93" s="14">
        <f t="shared" si="38"/>
        <v>9.411645327581053E-2</v>
      </c>
      <c r="R93" s="14">
        <f t="shared" si="39"/>
        <v>7.7798713486453508E-2</v>
      </c>
      <c r="T93" s="13">
        <f t="shared" si="43"/>
        <v>19.842320163649454</v>
      </c>
      <c r="U93">
        <f t="shared" si="44"/>
        <v>0.6</v>
      </c>
      <c r="V93" s="19">
        <f t="shared" si="45"/>
        <v>0.4</v>
      </c>
      <c r="W93" s="20">
        <f t="shared" si="46"/>
        <v>0.17802154666066694</v>
      </c>
      <c r="X93" s="21">
        <f t="shared" si="47"/>
        <v>0.17802154666066694</v>
      </c>
    </row>
    <row r="94" spans="1:24" ht="17.25" customHeight="1">
      <c r="A94" s="22">
        <v>2014</v>
      </c>
      <c r="B94" s="16">
        <v>2054.27</v>
      </c>
      <c r="C94" s="23">
        <v>39.44</v>
      </c>
      <c r="D94" s="16">
        <v>102.31</v>
      </c>
      <c r="E94" s="23">
        <v>234.81200000000001</v>
      </c>
      <c r="F94" s="18">
        <v>1.2999999999999999E-3</v>
      </c>
      <c r="G94" s="18">
        <v>1.5800000000000002E-2</v>
      </c>
      <c r="H94" s="13">
        <f t="shared" si="32"/>
        <v>2761.0934847878302</v>
      </c>
      <c r="I94" s="13">
        <f t="shared" si="33"/>
        <v>53.010328262610088</v>
      </c>
      <c r="J94" s="13">
        <f t="shared" si="34"/>
        <v>137.51233987189752</v>
      </c>
      <c r="K94" s="13">
        <f t="shared" si="41"/>
        <v>107.79336315108692</v>
      </c>
      <c r="L94" s="13">
        <f t="shared" si="42"/>
        <v>25.614689105838416</v>
      </c>
      <c r="M94" s="14">
        <f t="shared" si="35"/>
        <v>0.15816636980163515</v>
      </c>
      <c r="N94" s="14">
        <f t="shared" si="40"/>
        <v>0.14947070130956375</v>
      </c>
      <c r="O94" s="15">
        <f t="shared" si="36"/>
        <v>2.1029368096696123E-2</v>
      </c>
      <c r="P94" s="15">
        <f t="shared" si="37"/>
        <v>1.3634702384616634E-2</v>
      </c>
      <c r="Q94" s="14">
        <f t="shared" si="38"/>
        <v>0.1127260930288887</v>
      </c>
      <c r="R94" s="14">
        <f t="shared" si="39"/>
        <v>9.2834741283425615E-2</v>
      </c>
      <c r="T94" s="13">
        <f t="shared" si="43"/>
        <v>23.59630476558446</v>
      </c>
      <c r="U94">
        <f t="shared" si="44"/>
        <v>0.6</v>
      </c>
      <c r="V94" s="19">
        <f t="shared" si="45"/>
        <v>0.4</v>
      </c>
      <c r="W94" s="20">
        <f t="shared" si="46"/>
        <v>9.5419821880981096E-2</v>
      </c>
      <c r="X94" s="21">
        <f t="shared" si="47"/>
        <v>9.5419821880981096E-2</v>
      </c>
    </row>
    <row r="95" spans="1:24" ht="17.25" customHeight="1">
      <c r="A95" s="22">
        <v>2015</v>
      </c>
      <c r="B95" s="23">
        <v>2054.08</v>
      </c>
      <c r="C95" s="23">
        <v>43.39</v>
      </c>
      <c r="D95" s="23">
        <v>86.53</v>
      </c>
      <c r="E95" s="23">
        <v>236.52500000000001</v>
      </c>
      <c r="F95" s="18">
        <v>2.0999999999999999E-3</v>
      </c>
      <c r="G95" s="18">
        <v>1.6400000000000001E-2</v>
      </c>
      <c r="H95" s="13">
        <f t="shared" si="32"/>
        <v>2740.8431176408417</v>
      </c>
      <c r="I95" s="13">
        <f t="shared" si="33"/>
        <v>57.897055068174616</v>
      </c>
      <c r="J95" s="13">
        <f t="shared" si="34"/>
        <v>115.46052489166051</v>
      </c>
      <c r="K95" s="13">
        <f t="shared" si="41"/>
        <v>108.1248538262286</v>
      </c>
      <c r="L95" s="13">
        <f t="shared" si="42"/>
        <v>25.348872351270419</v>
      </c>
      <c r="M95" s="14">
        <f t="shared" si="35"/>
        <v>2.1029368096696123E-2</v>
      </c>
      <c r="N95" s="14">
        <f t="shared" si="40"/>
        <v>1.3634702384616634E-2</v>
      </c>
      <c r="O95" s="15">
        <f t="shared" si="36"/>
        <v>0.11598866645895008</v>
      </c>
      <c r="P95" s="15">
        <f t="shared" si="37"/>
        <v>9.3306684011246088E-2</v>
      </c>
      <c r="Q95" s="14">
        <f t="shared" si="38"/>
        <v>0.14570648338431424</v>
      </c>
      <c r="R95" s="14">
        <f t="shared" si="39"/>
        <v>0.12381779616368993</v>
      </c>
      <c r="T95" s="13">
        <f t="shared" si="43"/>
        <v>25.614689105838416</v>
      </c>
      <c r="U95">
        <f t="shared" si="44"/>
        <v>0.3</v>
      </c>
      <c r="V95" s="19">
        <f t="shared" si="45"/>
        <v>0.7</v>
      </c>
      <c r="W95" s="20">
        <f t="shared" si="46"/>
        <v>7.7788104290088369E-3</v>
      </c>
      <c r="X95" s="21">
        <f t="shared" si="47"/>
        <v>1.3457620858017674E-2</v>
      </c>
    </row>
    <row r="96" spans="1:24" ht="17.25" customHeight="1">
      <c r="A96" s="22">
        <v>2016</v>
      </c>
      <c r="B96" s="23">
        <v>2246.63</v>
      </c>
      <c r="C96" s="23">
        <v>45.7</v>
      </c>
      <c r="D96" s="23">
        <v>94.55</v>
      </c>
      <c r="E96" s="23">
        <v>241.43199999999999</v>
      </c>
      <c r="F96" s="18">
        <v>6.4999999999999997E-3</v>
      </c>
      <c r="G96" s="18">
        <v>1.7000000000000001E-2</v>
      </c>
      <c r="H96" s="13">
        <f t="shared" si="32"/>
        <v>2936.8420969465528</v>
      </c>
      <c r="I96" s="13">
        <f t="shared" si="33"/>
        <v>59.740003396401484</v>
      </c>
      <c r="J96" s="13">
        <f t="shared" si="34"/>
        <v>123.59775319758774</v>
      </c>
      <c r="K96" s="13">
        <f t="shared" si="41"/>
        <v>107.73687713904978</v>
      </c>
      <c r="L96" s="13">
        <f t="shared" si="42"/>
        <v>27.259395064478618</v>
      </c>
      <c r="M96" s="14">
        <f t="shared" si="35"/>
        <v>0.11598866645895008</v>
      </c>
      <c r="N96" s="14">
        <f t="shared" si="40"/>
        <v>9.3306684011246088E-2</v>
      </c>
      <c r="O96" s="15">
        <f t="shared" si="36"/>
        <v>0.20770665396616267</v>
      </c>
      <c r="P96" s="15">
        <f t="shared" si="37"/>
        <v>0.18276124385600817</v>
      </c>
      <c r="Q96" s="14">
        <f t="shared" si="38"/>
        <v>0.17781844351772347</v>
      </c>
      <c r="R96" s="14">
        <f t="shared" si="39"/>
        <v>0.14440076675225577</v>
      </c>
      <c r="T96" s="13">
        <f t="shared" si="43"/>
        <v>25.348872351270419</v>
      </c>
      <c r="U96">
        <f t="shared" si="44"/>
        <v>0.3</v>
      </c>
      <c r="V96" s="19">
        <f t="shared" si="45"/>
        <v>0.7</v>
      </c>
      <c r="W96" s="20">
        <f t="shared" si="46"/>
        <v>3.9346599937685023E-2</v>
      </c>
      <c r="X96" s="21">
        <f t="shared" si="47"/>
        <v>7.2193199875370054E-2</v>
      </c>
    </row>
    <row r="97" spans="1:24" ht="17.25" customHeight="1">
      <c r="A97" s="22">
        <v>2017</v>
      </c>
      <c r="B97" s="16">
        <v>2664.34</v>
      </c>
      <c r="C97" s="23">
        <v>48.93</v>
      </c>
      <c r="D97" s="16">
        <v>109.88</v>
      </c>
      <c r="E97" s="16">
        <v>246.524</v>
      </c>
      <c r="F97" s="18">
        <v>8.6999999999999994E-3</v>
      </c>
      <c r="G97" s="18">
        <v>1.9599999999999999E-2</v>
      </c>
      <c r="H97" s="13">
        <f t="shared" si="32"/>
        <v>3410.9418381171818</v>
      </c>
      <c r="I97" s="13">
        <f t="shared" si="33"/>
        <v>62.641173476010458</v>
      </c>
      <c r="J97" s="13">
        <f t="shared" si="34"/>
        <v>140.67059353247552</v>
      </c>
      <c r="K97" s="13">
        <f t="shared" si="41"/>
        <v>111.85957509710795</v>
      </c>
      <c r="L97" s="13">
        <f t="shared" si="42"/>
        <v>30.493069861530067</v>
      </c>
      <c r="M97" s="14">
        <f t="shared" si="35"/>
        <v>0.20770665396616267</v>
      </c>
      <c r="N97" s="14">
        <f t="shared" si="40"/>
        <v>0.18276124385600817</v>
      </c>
      <c r="O97" s="15">
        <f t="shared" si="36"/>
        <v>-1.6244173040978329E-2</v>
      </c>
      <c r="P97" s="15">
        <f t="shared" si="37"/>
        <v>-3.4683256239244731E-2</v>
      </c>
      <c r="Q97" s="14">
        <f t="shared" si="38"/>
        <v>9.8235089583896595E-2</v>
      </c>
      <c r="R97" s="14">
        <f t="shared" si="39"/>
        <v>5.8218270458132881E-2</v>
      </c>
      <c r="T97" s="13">
        <f t="shared" si="43"/>
        <v>27.259395064478618</v>
      </c>
      <c r="U97">
        <f t="shared" si="44"/>
        <v>0.3</v>
      </c>
      <c r="V97" s="19">
        <f t="shared" si="45"/>
        <v>0.7</v>
      </c>
      <c r="W97" s="20">
        <f t="shared" si="46"/>
        <v>6.8401996189848796E-2</v>
      </c>
      <c r="X97" s="21">
        <f t="shared" si="47"/>
        <v>0.12810399237969761</v>
      </c>
    </row>
    <row r="98" spans="1:24" ht="17.25" customHeight="1">
      <c r="A98" s="22">
        <v>2018</v>
      </c>
      <c r="B98" s="16">
        <v>2567.31</v>
      </c>
      <c r="C98" s="23">
        <v>53.75</v>
      </c>
      <c r="D98" s="16">
        <v>132.38999999999999</v>
      </c>
      <c r="E98" s="16">
        <v>251.233</v>
      </c>
      <c r="F98" s="18">
        <v>1.7000000000000001E-2</v>
      </c>
      <c r="G98" s="18">
        <v>2.18E-2</v>
      </c>
      <c r="H98" s="13">
        <f t="shared" si="32"/>
        <v>3225.1172121098739</v>
      </c>
      <c r="I98" s="13">
        <f t="shared" si="33"/>
        <v>67.522056218729233</v>
      </c>
      <c r="J98" s="13">
        <f t="shared" si="34"/>
        <v>166.31153530786162</v>
      </c>
      <c r="K98" s="13">
        <f t="shared" si="41"/>
        <v>124.5634559525131</v>
      </c>
      <c r="L98" s="13">
        <f t="shared" si="42"/>
        <v>25.891359447664765</v>
      </c>
      <c r="M98" s="14">
        <f t="shared" si="35"/>
        <v>-1.6244173040978329E-2</v>
      </c>
      <c r="N98" s="14">
        <f t="shared" si="40"/>
        <v>-3.4683256239244731E-2</v>
      </c>
      <c r="O98" s="15">
        <f t="shared" si="36"/>
        <v>0.26006969310660571</v>
      </c>
      <c r="P98" s="15">
        <f t="shared" si="37"/>
        <v>0.23191875134547438</v>
      </c>
      <c r="Q98" s="14">
        <f t="shared" si="38"/>
        <v>0.14568761200143432</v>
      </c>
      <c r="R98" s="14">
        <f t="shared" si="39"/>
        <v>0.10084398160765939</v>
      </c>
      <c r="T98" s="13">
        <f t="shared" si="43"/>
        <v>30.493069861530067</v>
      </c>
      <c r="U98">
        <f t="shared" si="44"/>
        <v>0.3</v>
      </c>
      <c r="V98" s="19">
        <f t="shared" si="45"/>
        <v>0.7</v>
      </c>
      <c r="W98" s="20">
        <f t="shared" si="46"/>
        <v>7.026748087706502E-3</v>
      </c>
      <c r="X98" s="21">
        <f t="shared" si="47"/>
        <v>-2.9465038245869973E-3</v>
      </c>
    </row>
    <row r="99" spans="1:24" ht="17.25" customHeight="1">
      <c r="A99" s="22">
        <v>2019</v>
      </c>
      <c r="B99" s="16">
        <v>3176.7495238095198</v>
      </c>
      <c r="C99" s="23">
        <v>58.24</v>
      </c>
      <c r="D99" s="16">
        <v>139.47</v>
      </c>
      <c r="E99" s="16">
        <v>256.97399999999999</v>
      </c>
      <c r="F99" s="18">
        <v>2.6599999999999999E-2</v>
      </c>
      <c r="G99" s="18">
        <v>2.6800000000000001E-2</v>
      </c>
      <c r="H99" s="13">
        <f t="shared" ref="H99:H104" si="48">B99 / E99 * $E$104</f>
        <v>3901.5543730568215</v>
      </c>
      <c r="I99" s="13">
        <f t="shared" ref="I99:I104" si="49">C99 / E99 * $E$104</f>
        <v>71.527995828371758</v>
      </c>
      <c r="J99" s="13">
        <f t="shared" ref="J99:J104" si="50">D99 / E99 * $E$104</f>
        <v>171.29137325176868</v>
      </c>
      <c r="K99" s="13">
        <f t="shared" si="41"/>
        <v>134.2434331287659</v>
      </c>
      <c r="L99" s="13">
        <f t="shared" si="42"/>
        <v>29.063279164757819</v>
      </c>
      <c r="M99" s="14">
        <f t="shared" ref="M99:M104" si="51">(B99-B98+C99)/B98</f>
        <v>0.26006969310660571</v>
      </c>
      <c r="N99" s="14">
        <f t="shared" si="40"/>
        <v>0.23191875134547438</v>
      </c>
      <c r="O99" s="15">
        <f t="shared" si="36"/>
        <v>0.18158161920010349</v>
      </c>
      <c r="P99" s="15">
        <f t="shared" si="37"/>
        <v>0.16570465770989562</v>
      </c>
      <c r="Q99" s="14">
        <f t="shared" ref="Q99:Q130" si="52">((1+M100)*(1+M101)*(1+M102)*(1+M103)*(1+M104))^(1/5)-1</f>
        <v>0.15267565497250923</v>
      </c>
      <c r="R99" s="14">
        <f t="shared" ref="R99:R130" si="53">((1+N100)*(1+N101)*(1+N102)*(1+N103)*(1+N104))^(1/5)-1</f>
        <v>0.10625738448032673</v>
      </c>
      <c r="T99" s="13">
        <f t="shared" si="43"/>
        <v>25.891359447664765</v>
      </c>
      <c r="U99">
        <f t="shared" si="44"/>
        <v>0.3</v>
      </c>
      <c r="V99" s="19">
        <f t="shared" si="45"/>
        <v>0.7</v>
      </c>
      <c r="W99" s="20">
        <f t="shared" si="46"/>
        <v>9.6640907931981712E-2</v>
      </c>
      <c r="X99" s="21">
        <f t="shared" si="47"/>
        <v>0.16668181586396344</v>
      </c>
    </row>
    <row r="100" spans="1:24" ht="17.25" customHeight="1">
      <c r="A100" s="22">
        <v>2020</v>
      </c>
      <c r="B100" s="23">
        <v>3695.31</v>
      </c>
      <c r="C100" s="23">
        <v>58.278846136010202</v>
      </c>
      <c r="D100" s="23">
        <v>94.13</v>
      </c>
      <c r="E100" s="23">
        <v>260.47399999999999</v>
      </c>
      <c r="F100" s="18">
        <v>1.55E-2</v>
      </c>
      <c r="G100" s="18">
        <v>1.6799999999999999E-2</v>
      </c>
      <c r="H100" s="13">
        <f t="shared" si="48"/>
        <v>4477.4461656441717</v>
      </c>
      <c r="I100" s="13">
        <f t="shared" si="49"/>
        <v>70.613939336576777</v>
      </c>
      <c r="J100" s="13">
        <f t="shared" si="50"/>
        <v>114.05322085889571</v>
      </c>
      <c r="K100" s="13">
        <f t="shared" si="41"/>
        <v>134.5108055251323</v>
      </c>
      <c r="L100" s="13">
        <f t="shared" si="42"/>
        <v>33.286888351936867</v>
      </c>
      <c r="M100" s="14">
        <f t="shared" si="51"/>
        <v>0.18158161920010349</v>
      </c>
      <c r="N100" s="14">
        <f t="shared" si="40"/>
        <v>0.16570465770989562</v>
      </c>
      <c r="O100" s="15">
        <f t="shared" si="36"/>
        <v>0.28139989461104004</v>
      </c>
      <c r="P100" s="15">
        <f t="shared" si="37"/>
        <v>0.19716270381459264</v>
      </c>
      <c r="Q100" s="14"/>
      <c r="R100" s="14"/>
      <c r="T100" s="13">
        <f t="shared" si="43"/>
        <v>29.063279164757819</v>
      </c>
      <c r="U100">
        <f t="shared" si="44"/>
        <v>0.3</v>
      </c>
      <c r="V100" s="19">
        <f t="shared" si="45"/>
        <v>0.7</v>
      </c>
      <c r="W100" s="20">
        <f t="shared" si="46"/>
        <v>6.5324485760031054E-2</v>
      </c>
      <c r="X100" s="21">
        <f t="shared" si="47"/>
        <v>0.11514897152006209</v>
      </c>
    </row>
    <row r="101" spans="1:24" ht="17.25" customHeight="1">
      <c r="A101" s="22">
        <v>2021</v>
      </c>
      <c r="B101" s="23">
        <v>4674.7727272727298</v>
      </c>
      <c r="C101" s="16">
        <v>60.3971172823926</v>
      </c>
      <c r="D101" s="23">
        <v>197.87</v>
      </c>
      <c r="E101" s="16">
        <v>278.80200000000002</v>
      </c>
      <c r="F101" s="18">
        <v>1E-3</v>
      </c>
      <c r="G101" s="18">
        <v>3.5999999999999999E-3</v>
      </c>
      <c r="H101" s="13">
        <f t="shared" si="48"/>
        <v>5291.8617749905306</v>
      </c>
      <c r="I101" s="13">
        <f t="shared" si="49"/>
        <v>68.36978285632641</v>
      </c>
      <c r="J101" s="13">
        <f t="shared" si="50"/>
        <v>223.98964623639716</v>
      </c>
      <c r="K101" s="13">
        <f t="shared" si="41"/>
        <v>144.7497083112379</v>
      </c>
      <c r="L101" s="13">
        <f t="shared" si="42"/>
        <v>36.558704240094748</v>
      </c>
      <c r="M101" s="14">
        <f t="shared" si="51"/>
        <v>0.28139989461104004</v>
      </c>
      <c r="N101" s="14">
        <f t="shared" si="40"/>
        <v>0.19716270381459264</v>
      </c>
      <c r="O101" s="15">
        <f t="shared" si="36"/>
        <v>-0.1487712484575735</v>
      </c>
      <c r="P101" s="15">
        <f t="shared" si="37"/>
        <v>-0.20038181522208257</v>
      </c>
      <c r="R101" s="14"/>
      <c r="T101" s="13">
        <f t="shared" si="43"/>
        <v>33.286888351936867</v>
      </c>
      <c r="U101">
        <f t="shared" si="44"/>
        <v>0.3</v>
      </c>
      <c r="V101" s="19">
        <f t="shared" si="45"/>
        <v>0.7</v>
      </c>
      <c r="W101" s="20">
        <f t="shared" si="46"/>
        <v>8.5119968383312011E-2</v>
      </c>
      <c r="X101" s="21">
        <f t="shared" si="47"/>
        <v>0.16923993676662402</v>
      </c>
    </row>
    <row r="102" spans="1:24" ht="17.25" customHeight="1">
      <c r="A102" s="22">
        <v>2022</v>
      </c>
      <c r="B102" s="23">
        <v>3912.38095238095</v>
      </c>
      <c r="C102" s="23">
        <v>66.92</v>
      </c>
      <c r="D102" s="23">
        <v>172.75</v>
      </c>
      <c r="E102" s="23">
        <v>296.79700000000003</v>
      </c>
      <c r="F102" s="18">
        <v>4.0000000000000001E-3</v>
      </c>
      <c r="G102" s="18">
        <v>1.2699999999999999E-2</v>
      </c>
      <c r="H102" s="13">
        <f t="shared" si="48"/>
        <v>4160.3081920510976</v>
      </c>
      <c r="I102" s="13">
        <f t="shared" si="49"/>
        <v>71.160714562478731</v>
      </c>
      <c r="J102" s="13">
        <f t="shared" si="50"/>
        <v>183.69715243078599</v>
      </c>
      <c r="K102" s="13">
        <f t="shared" si="41"/>
        <v>151.22792981082236</v>
      </c>
      <c r="L102" s="13">
        <f t="shared" si="42"/>
        <v>27.510184112520811</v>
      </c>
      <c r="M102" s="14">
        <f t="shared" si="51"/>
        <v>-0.1487712484575735</v>
      </c>
      <c r="N102" s="14">
        <f t="shared" si="40"/>
        <v>-0.20038181522208257</v>
      </c>
      <c r="O102" s="15">
        <f t="shared" si="36"/>
        <v>0.21546323065747985</v>
      </c>
      <c r="P102" s="15">
        <f t="shared" si="37"/>
        <v>0.17604089529919906</v>
      </c>
      <c r="R102" s="14"/>
      <c r="T102" s="13">
        <f t="shared" si="43"/>
        <v>36.558704240094748</v>
      </c>
      <c r="U102">
        <f t="shared" si="44"/>
        <v>0.3</v>
      </c>
      <c r="V102" s="19">
        <f t="shared" si="45"/>
        <v>0.7</v>
      </c>
      <c r="W102" s="20">
        <f t="shared" si="46"/>
        <v>-4.1831374537272051E-2</v>
      </c>
      <c r="X102" s="21">
        <f t="shared" si="47"/>
        <v>-8.7662749074544091E-2</v>
      </c>
    </row>
    <row r="103" spans="1:24" ht="17.25" customHeight="1">
      <c r="A103" s="22">
        <v>2023</v>
      </c>
      <c r="B103" s="23">
        <v>4685.0514999999996</v>
      </c>
      <c r="C103" s="16">
        <v>70.303691943737803</v>
      </c>
      <c r="D103" s="23">
        <v>192.43</v>
      </c>
      <c r="E103" s="16">
        <v>306.74599999999998</v>
      </c>
      <c r="F103" s="18">
        <v>4.7100000000000003E-2</v>
      </c>
      <c r="G103" s="18">
        <v>3.9899999999999998E-2</v>
      </c>
      <c r="H103" s="13">
        <f t="shared" si="48"/>
        <v>4820.3584681055336</v>
      </c>
      <c r="I103" s="13">
        <f t="shared" si="49"/>
        <v>72.334102794831466</v>
      </c>
      <c r="J103" s="13">
        <f t="shared" si="50"/>
        <v>197.98748850840764</v>
      </c>
      <c r="K103" s="13">
        <f t="shared" si="41"/>
        <v>157.45716280877383</v>
      </c>
      <c r="L103" s="13">
        <f t="shared" si="42"/>
        <v>30.613776992537893</v>
      </c>
      <c r="M103" s="14">
        <f t="shared" si="51"/>
        <v>0.21546323065747985</v>
      </c>
      <c r="N103" s="14">
        <f t="shared" si="40"/>
        <v>0.17604089529919906</v>
      </c>
      <c r="O103" s="15">
        <f t="shared" si="36"/>
        <v>0.29896988880876368</v>
      </c>
      <c r="P103" s="15">
        <f t="shared" si="37"/>
        <v>0.26250793717632159</v>
      </c>
      <c r="R103" s="14"/>
      <c r="T103" s="13">
        <f t="shared" si="43"/>
        <v>27.510184112520811</v>
      </c>
      <c r="U103">
        <f t="shared" si="44"/>
        <v>0.3</v>
      </c>
      <c r="V103" s="19">
        <f t="shared" si="45"/>
        <v>0.7</v>
      </c>
      <c r="W103" s="20">
        <f t="shared" si="46"/>
        <v>9.7608969197243947E-2</v>
      </c>
      <c r="X103" s="21">
        <f t="shared" si="47"/>
        <v>0.14811793839448789</v>
      </c>
    </row>
    <row r="104" spans="1:24" ht="17.25" customHeight="1">
      <c r="A104" s="22">
        <v>2024</v>
      </c>
      <c r="B104" s="23">
        <v>6010.9085714285702</v>
      </c>
      <c r="C104" s="23">
        <v>74.832254589760694</v>
      </c>
      <c r="D104" s="23">
        <v>210.17</v>
      </c>
      <c r="E104" s="23">
        <v>315.60500000000002</v>
      </c>
      <c r="F104" s="18">
        <v>4.7899999999999998E-2</v>
      </c>
      <c r="G104" s="18">
        <v>3.9E-2</v>
      </c>
      <c r="H104" s="13">
        <f t="shared" si="48"/>
        <v>6010.9085714285702</v>
      </c>
      <c r="I104" s="13">
        <f t="shared" si="49"/>
        <v>74.832254589760694</v>
      </c>
      <c r="J104" s="13">
        <f t="shared" si="50"/>
        <v>210.17</v>
      </c>
      <c r="K104" s="13">
        <f t="shared" si="41"/>
        <v>164.72292882158408</v>
      </c>
      <c r="L104" s="13">
        <f t="shared" si="42"/>
        <v>36.491025350448631</v>
      </c>
      <c r="M104" s="14">
        <f t="shared" si="51"/>
        <v>0.29896988880876368</v>
      </c>
      <c r="N104" s="14">
        <f t="shared" si="40"/>
        <v>0.26250793717632159</v>
      </c>
      <c r="O104" s="15"/>
      <c r="P104" s="15"/>
      <c r="R104" s="14"/>
      <c r="T104" s="13">
        <f t="shared" si="43"/>
        <v>30.613776992537893</v>
      </c>
      <c r="U104">
        <f t="shared" si="44"/>
        <v>0.3</v>
      </c>
      <c r="V104" s="19">
        <f t="shared" si="45"/>
        <v>0.7</v>
      </c>
      <c r="W104" s="20">
        <f t="shared" si="46"/>
        <v>0.1232209666426291</v>
      </c>
      <c r="X104" s="21">
        <f t="shared" si="47"/>
        <v>0.19854193328525821</v>
      </c>
    </row>
    <row r="105" spans="1:24" ht="17.25" customHeight="1">
      <c r="A105" s="25" t="s">
        <v>23</v>
      </c>
      <c r="L105" s="26">
        <f>AVERAGE(L12:L104)</f>
        <v>18.962843180468667</v>
      </c>
      <c r="M105" s="27">
        <f>AVERAGE(M3:M104)</f>
        <v>0.12151589163078916</v>
      </c>
      <c r="N105" s="27">
        <f>AVERAGE(N4:N104)</f>
        <v>9.104791725205387E-2</v>
      </c>
      <c r="T105" s="13">
        <f>AVERAGE(T13:T104)</f>
        <v>18.772319461229753</v>
      </c>
      <c r="U105" s="13">
        <f>AVERAGE(U13:U104)</f>
        <v>0.60108695652173882</v>
      </c>
      <c r="V105" s="13">
        <f>AVERAGE(V13:V104)</f>
        <v>0.39891304347826073</v>
      </c>
      <c r="W105" s="28">
        <f>AVERAGE(W13:W104)</f>
        <v>9.7397240789504999E-2</v>
      </c>
      <c r="X105" s="28">
        <f>AVERAGE(X13:X104)</f>
        <v>9.1293138702856755E-2</v>
      </c>
    </row>
    <row r="108" spans="1:24" ht="13.5" customHeight="1">
      <c r="T108" s="3" t="s">
        <v>24</v>
      </c>
      <c r="U108" s="3"/>
      <c r="V108" s="3"/>
      <c r="W108" s="3"/>
      <c r="X108" s="3"/>
    </row>
    <row r="109" spans="1:24" ht="19.5" customHeight="1">
      <c r="T109" s="3"/>
      <c r="U109" s="3"/>
      <c r="V109" s="3"/>
      <c r="W109" s="3"/>
      <c r="X109" s="3"/>
    </row>
    <row r="110" spans="1:24" ht="19.5" customHeight="1">
      <c r="T110" s="3"/>
      <c r="U110" s="3"/>
      <c r="V110" s="3"/>
      <c r="W110" s="3"/>
      <c r="X110" s="3"/>
    </row>
    <row r="111" spans="1:24" ht="19.5" customHeight="1">
      <c r="T111" s="3"/>
      <c r="U111" s="3"/>
      <c r="V111" s="3"/>
      <c r="W111" s="3"/>
      <c r="X111" s="3"/>
    </row>
    <row r="112" spans="1:24" ht="19.5" customHeight="1">
      <c r="T112" s="3"/>
      <c r="U112" s="3"/>
      <c r="V112" s="3"/>
      <c r="W112" s="3"/>
      <c r="X112" s="3"/>
    </row>
    <row r="113" spans="20:24" ht="19.5" customHeight="1">
      <c r="T113" s="3"/>
      <c r="U113" s="3"/>
      <c r="V113" s="3"/>
      <c r="W113" s="3"/>
      <c r="X113" s="3"/>
    </row>
    <row r="114" spans="20:24" ht="19.5" customHeight="1">
      <c r="T114" s="3"/>
      <c r="U114" s="3"/>
      <c r="V114" s="3"/>
      <c r="W114" s="3"/>
      <c r="X114" s="3"/>
    </row>
    <row r="115" spans="20:24" ht="19.5" customHeight="1">
      <c r="T115" s="29"/>
      <c r="U115" s="29"/>
      <c r="V115" s="29"/>
      <c r="W115" s="29"/>
      <c r="X115" s="29"/>
    </row>
    <row r="116" spans="20:24" ht="19.5" customHeight="1">
      <c r="T116" s="29"/>
      <c r="U116" s="29"/>
      <c r="V116" s="29"/>
      <c r="W116" s="29"/>
      <c r="X116" s="29"/>
    </row>
    <row r="117" spans="20:24" ht="19.5" customHeight="1">
      <c r="T117" s="29"/>
      <c r="U117" s="29"/>
      <c r="V117" s="29"/>
      <c r="W117" s="29"/>
      <c r="X117" s="29"/>
    </row>
    <row r="118" spans="20:24" ht="19.5" customHeight="1">
      <c r="T118" s="30"/>
      <c r="U118" s="30"/>
      <c r="V118" s="30"/>
      <c r="W118" s="30"/>
      <c r="X118" s="30"/>
    </row>
    <row r="119" spans="20:24">
      <c r="T119" s="29"/>
      <c r="U119" s="29"/>
      <c r="V119" s="29"/>
      <c r="W119" s="29"/>
      <c r="X119" s="29"/>
    </row>
    <row r="120" spans="20:24">
      <c r="T120" s="29"/>
      <c r="U120" s="29"/>
      <c r="V120" s="29"/>
      <c r="W120" s="29"/>
      <c r="X120" s="29"/>
    </row>
    <row r="121" spans="20:24">
      <c r="T121" s="29"/>
      <c r="U121" s="29"/>
      <c r="V121" s="29"/>
      <c r="W121" s="29"/>
      <c r="X121" s="29"/>
    </row>
    <row r="122" spans="20:24">
      <c r="T122" s="29"/>
      <c r="U122" s="29"/>
      <c r="V122" s="29"/>
      <c r="W122" s="29"/>
      <c r="X122" s="29"/>
    </row>
    <row r="123" spans="20:24">
      <c r="T123" s="29"/>
      <c r="U123" s="29"/>
      <c r="V123" s="29"/>
      <c r="W123" s="29"/>
      <c r="X123" s="29"/>
    </row>
    <row r="124" spans="20:24">
      <c r="T124" s="29"/>
      <c r="U124" s="29"/>
      <c r="V124" s="29"/>
      <c r="W124" s="29"/>
      <c r="X124" s="29"/>
    </row>
    <row r="125" spans="20:24">
      <c r="T125" s="29"/>
      <c r="U125" s="29"/>
      <c r="V125" s="29"/>
      <c r="W125" s="29"/>
      <c r="X125" s="29"/>
    </row>
    <row r="126" spans="20:24">
      <c r="T126" s="29"/>
      <c r="U126" s="29"/>
      <c r="V126" s="29"/>
      <c r="W126" s="29"/>
      <c r="X126" s="29"/>
    </row>
    <row r="127" spans="20:24">
      <c r="T127" s="29"/>
      <c r="U127" s="29"/>
      <c r="V127" s="29"/>
      <c r="W127" s="29"/>
      <c r="X127" s="29"/>
    </row>
    <row r="128" spans="20:24">
      <c r="T128" s="29"/>
      <c r="U128" s="29"/>
      <c r="V128" s="29"/>
      <c r="W128" s="29"/>
      <c r="X128" s="29"/>
    </row>
    <row r="129" spans="20:24">
      <c r="T129" s="29"/>
      <c r="U129" s="29"/>
      <c r="V129" s="29"/>
      <c r="W129" s="29"/>
      <c r="X129" s="29"/>
    </row>
    <row r="130" spans="20:24">
      <c r="T130" s="29"/>
      <c r="U130" s="29"/>
      <c r="V130" s="29"/>
      <c r="W130" s="29"/>
      <c r="X130" s="29"/>
    </row>
  </sheetData>
  <mergeCells count="1">
    <mergeCell ref="T108:X114"/>
  </mergeCells>
  <phoneticPr fontId="15" type="noConversion"/>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
  <sheetViews>
    <sheetView zoomScale="78" zoomScaleNormal="78" workbookViewId="0"/>
  </sheetViews>
  <sheetFormatPr defaultColWidth="8.5" defaultRowHeight="15"/>
  <sheetData/>
  <phoneticPr fontId="15" type="noConversion"/>
  <pageMargins left="0.7" right="0.7" top="0.75" bottom="0.75" header="0.511811023622047" footer="0.511811023622047"/>
  <pageSetup paperSize="77"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
  <sheetViews>
    <sheetView zoomScale="78" zoomScaleNormal="78" workbookViewId="0"/>
  </sheetViews>
  <sheetFormatPr defaultColWidth="8.5" defaultRowHeight="15"/>
  <sheetData/>
  <phoneticPr fontId="15" type="noConversion"/>
  <pageMargins left="0.7" right="0.7" top="0.75" bottom="0.75" header="0.511811023622047" footer="0.511811023622047"/>
  <pageSetup paperSize="77"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4"/>
  <sheetViews>
    <sheetView tabSelected="1" zoomScaleNormal="100" workbookViewId="0">
      <pane ySplit="1" topLeftCell="A2" activePane="bottomLeft" state="frozen"/>
      <selection pane="bottomLeft"/>
    </sheetView>
  </sheetViews>
  <sheetFormatPr defaultColWidth="8.5" defaultRowHeight="15"/>
  <cols>
    <col min="1" max="1" width="10" customWidth="1"/>
    <col min="2" max="3" width="18" customWidth="1"/>
  </cols>
  <sheetData>
    <row r="1" spans="1:5" ht="15.6">
      <c r="A1" s="38" t="s">
        <v>0</v>
      </c>
      <c r="B1" s="38" t="s">
        <v>54</v>
      </c>
      <c r="C1" s="38" t="s">
        <v>55</v>
      </c>
      <c r="E1" s="39" t="s">
        <v>56</v>
      </c>
    </row>
    <row r="2" spans="1:5">
      <c r="A2" s="40">
        <v>1932</v>
      </c>
      <c r="B2" s="41">
        <v>1</v>
      </c>
      <c r="C2" s="41">
        <v>1</v>
      </c>
    </row>
    <row r="3" spans="1:5">
      <c r="A3" s="40">
        <v>1933</v>
      </c>
      <c r="B3" s="41">
        <f>B2*(1+'RAW Data'!W13)</f>
        <v>1.4396280677009872</v>
      </c>
      <c r="C3" s="41">
        <f>C2*(1+'RAW Data'!X13)</f>
        <v>1.3305960507757404</v>
      </c>
    </row>
    <row r="4" spans="1:5">
      <c r="A4" s="40">
        <v>1934</v>
      </c>
      <c r="B4" s="41">
        <f>B3*(1+'RAW Data'!W14)</f>
        <v>1.3497356241355758</v>
      </c>
      <c r="C4" s="41">
        <f>C3*(1+'RAW Data'!X14)</f>
        <v>1.2692086779507605</v>
      </c>
    </row>
    <row r="5" spans="1:5">
      <c r="A5" s="40">
        <v>1935</v>
      </c>
      <c r="B5" s="41">
        <f>B4*(1+'RAW Data'!W15)</f>
        <v>1.9297286971855414</v>
      </c>
      <c r="C5" s="41">
        <f>C4*(1+'RAW Data'!X15)</f>
        <v>1.6787826198653297</v>
      </c>
    </row>
    <row r="6" spans="1:5">
      <c r="A6" s="40">
        <v>1936</v>
      </c>
      <c r="B6" s="41">
        <f>B5*(1+'RAW Data'!W16)</f>
        <v>2.3139206273787889</v>
      </c>
      <c r="C6" s="41">
        <f>C5*(1+'RAW Data'!X16)</f>
        <v>2.0130134037271321</v>
      </c>
    </row>
    <row r="7" spans="1:5">
      <c r="A7" s="40">
        <v>1937</v>
      </c>
      <c r="B7" s="41">
        <f>B6*(1+'RAW Data'!W17)</f>
        <v>1.8839454540005711</v>
      </c>
      <c r="C7" s="41">
        <f>C6*(1+'RAW Data'!X17)</f>
        <v>1.638953128262653</v>
      </c>
    </row>
    <row r="8" spans="1:5">
      <c r="A8" s="40">
        <v>1938</v>
      </c>
      <c r="B8" s="41">
        <f>B7*(1+'RAW Data'!W18)</f>
        <v>2.1107302269839301</v>
      </c>
      <c r="C8" s="41">
        <f>C7*(1+'RAW Data'!X18)</f>
        <v>1.7871893525240921</v>
      </c>
    </row>
    <row r="9" spans="1:5">
      <c r="A9" s="40">
        <v>1939</v>
      </c>
      <c r="B9" s="41">
        <f>B8*(1+'RAW Data'!W19)</f>
        <v>2.1536695155682066</v>
      </c>
      <c r="C9" s="41">
        <f>C8*(1+'RAW Data'!X19)</f>
        <v>1.8235467412522739</v>
      </c>
    </row>
    <row r="10" spans="1:5">
      <c r="A10" s="40">
        <v>1940</v>
      </c>
      <c r="B10" s="41">
        <f>B9*(1+'RAW Data'!W20)</f>
        <v>2.0405165946956658</v>
      </c>
      <c r="C10" s="41">
        <f>C9*(1+'RAW Data'!X20)</f>
        <v>1.7277383367460426</v>
      </c>
    </row>
    <row r="11" spans="1:5">
      <c r="A11" s="40">
        <v>1941</v>
      </c>
      <c r="B11" s="41">
        <f>B10*(1+'RAW Data'!W21)</f>
        <v>1.9001601926177361</v>
      </c>
      <c r="C11" s="41">
        <f>C10*(1+'RAW Data'!X21)</f>
        <v>1.639081941437591</v>
      </c>
    </row>
    <row r="12" spans="1:5">
      <c r="A12" s="40">
        <v>1942</v>
      </c>
      <c r="B12" s="41">
        <f>B11*(1+'RAW Data'!W22)</f>
        <v>2.1996917849931106</v>
      </c>
      <c r="C12" s="41">
        <f>C11*(1+'RAW Data'!X22)</f>
        <v>1.8346263626578794</v>
      </c>
    </row>
    <row r="13" spans="1:5">
      <c r="A13" s="40">
        <v>1943</v>
      </c>
      <c r="B13" s="41">
        <f>B12*(1+'RAW Data'!W23)</f>
        <v>2.6167287562252923</v>
      </c>
      <c r="C13" s="41">
        <f>C12*(1+'RAW Data'!X23)</f>
        <v>2.0993475642928523</v>
      </c>
    </row>
    <row r="14" spans="1:5">
      <c r="A14" s="40">
        <v>1944</v>
      </c>
      <c r="B14" s="41">
        <f>B13*(1+'RAW Data'!W24)</f>
        <v>3.0240593538269418</v>
      </c>
      <c r="C14" s="41">
        <f>C13*(1+'RAW Data'!X24)</f>
        <v>2.3490083544033107</v>
      </c>
    </row>
    <row r="15" spans="1:5">
      <c r="A15" s="40">
        <v>1945</v>
      </c>
      <c r="B15" s="41">
        <f>B14*(1+'RAW Data'!W25)</f>
        <v>3.9595930708742957</v>
      </c>
      <c r="C15" s="41">
        <f>C14*(1+'RAW Data'!X25)</f>
        <v>2.898670806838207</v>
      </c>
    </row>
    <row r="16" spans="1:5">
      <c r="A16" s="40">
        <v>1946</v>
      </c>
      <c r="B16" s="41">
        <f>B15*(1+'RAW Data'!W26)</f>
        <v>3.6958750314510853</v>
      </c>
      <c r="C16" s="41">
        <f>C15*(1+'RAW Data'!X26)</f>
        <v>2.7056126393877125</v>
      </c>
    </row>
    <row r="17" spans="1:3">
      <c r="A17" s="40">
        <v>1947</v>
      </c>
      <c r="B17" s="41">
        <f>B16*(1+'RAW Data'!W27)</f>
        <v>3.7923913621080518</v>
      </c>
      <c r="C17" s="41">
        <f>C16*(1+'RAW Data'!X27)</f>
        <v>2.7650981214739812</v>
      </c>
    </row>
    <row r="18" spans="1:3">
      <c r="A18" s="40">
        <v>1948</v>
      </c>
      <c r="B18" s="41">
        <f>B17*(1+'RAW Data'!W28)</f>
        <v>4.0991930614801584</v>
      </c>
      <c r="C18" s="41">
        <f>C17*(1+'RAW Data'!X28)</f>
        <v>2.9402655771999862</v>
      </c>
    </row>
    <row r="19" spans="1:3">
      <c r="A19" s="40">
        <v>1949</v>
      </c>
      <c r="B19" s="41">
        <f>B18*(1+'RAW Data'!W29)</f>
        <v>4.6775960344434449</v>
      </c>
      <c r="C19" s="41">
        <f>C18*(1+'RAW Data'!X29)</f>
        <v>3.2608317070861856</v>
      </c>
    </row>
    <row r="20" spans="1:3">
      <c r="A20" s="40">
        <v>1950</v>
      </c>
      <c r="B20" s="41">
        <f>B19*(1+'RAW Data'!W30)</f>
        <v>5.9732036780480984</v>
      </c>
      <c r="C20" s="41">
        <f>C19*(1+'RAW Data'!X30)</f>
        <v>3.9467839739917254</v>
      </c>
    </row>
    <row r="21" spans="1:3">
      <c r="A21" s="40">
        <v>1951</v>
      </c>
      <c r="B21" s="41">
        <f>B20*(1+'RAW Data'!W31)</f>
        <v>6.9798215360555682</v>
      </c>
      <c r="C21" s="41">
        <f>C20*(1+'RAW Data'!X31)</f>
        <v>4.4601291584072742</v>
      </c>
    </row>
    <row r="22" spans="1:3">
      <c r="A22" s="40">
        <v>1952</v>
      </c>
      <c r="B22" s="41">
        <f>B21*(1+'RAW Data'!W32)</f>
        <v>7.7895028788169869</v>
      </c>
      <c r="C22" s="41">
        <f>C21*(1+'RAW Data'!X32)</f>
        <v>4.8680185348630394</v>
      </c>
    </row>
    <row r="23" spans="1:3">
      <c r="A23" s="40">
        <v>1953</v>
      </c>
      <c r="B23" s="41">
        <f>B22*(1+'RAW Data'!W33)</f>
        <v>7.9936431960118721</v>
      </c>
      <c r="C23" s="41">
        <f>C22*(1+'RAW Data'!X33)</f>
        <v>4.9874326286431456</v>
      </c>
    </row>
    <row r="24" spans="1:3">
      <c r="A24" s="40">
        <v>1954</v>
      </c>
      <c r="B24" s="41">
        <f>B23*(1+'RAW Data'!W34)</f>
        <v>10.951987184358609</v>
      </c>
      <c r="C24" s="41">
        <f>C23*(1+'RAW Data'!X34)</f>
        <v>6.3909724902079033</v>
      </c>
    </row>
    <row r="25" spans="1:3">
      <c r="A25" s="40">
        <v>1955</v>
      </c>
      <c r="B25" s="41">
        <f>B24*(1+'RAW Data'!W35)</f>
        <v>12.885906309217662</v>
      </c>
      <c r="C25" s="41">
        <f>C24*(1+'RAW Data'!X35)</f>
        <v>7.5195004657439686</v>
      </c>
    </row>
    <row r="26" spans="1:3">
      <c r="A26" s="40">
        <v>1956</v>
      </c>
      <c r="B26" s="41">
        <f>B25*(1+'RAW Data'!W36)</f>
        <v>13.555482517831249</v>
      </c>
      <c r="C26" s="41">
        <f>C25*(1+'RAW Data'!X36)</f>
        <v>7.910228016581379</v>
      </c>
    </row>
    <row r="27" spans="1:3">
      <c r="A27" s="40">
        <v>1957</v>
      </c>
      <c r="B27" s="41">
        <f>B26*(1+'RAW Data'!W37)</f>
        <v>13.303866027296261</v>
      </c>
      <c r="C27" s="41">
        <f>C26*(1+'RAW Data'!X37)</f>
        <v>7.7633985835275867</v>
      </c>
    </row>
    <row r="28" spans="1:3">
      <c r="A28" s="40">
        <v>1958</v>
      </c>
      <c r="B28" s="41">
        <f>B27*(1+'RAW Data'!W38)</f>
        <v>17.594467388450962</v>
      </c>
      <c r="C28" s="41">
        <f>C27*(1+'RAW Data'!X38)</f>
        <v>9.7029353994388998</v>
      </c>
    </row>
    <row r="29" spans="1:3">
      <c r="A29" s="40">
        <v>1959</v>
      </c>
      <c r="B29" s="41">
        <f>B28*(1+'RAW Data'!W39)</f>
        <v>18.630762917222913</v>
      </c>
      <c r="C29" s="41">
        <f>C28*(1+'RAW Data'!X39)</f>
        <v>10.274428036777943</v>
      </c>
    </row>
    <row r="30" spans="1:3">
      <c r="A30" s="40">
        <v>1960</v>
      </c>
      <c r="B30" s="41">
        <f>B29*(1+'RAW Data'!W40)</f>
        <v>19.714993312351506</v>
      </c>
      <c r="C30" s="41">
        <f>C29*(1+'RAW Data'!X40)</f>
        <v>10.872355626728538</v>
      </c>
    </row>
    <row r="31" spans="1:3">
      <c r="A31" s="40">
        <v>1961</v>
      </c>
      <c r="B31" s="41">
        <f>B30*(1+'RAW Data'!W41)</f>
        <v>22.192637396743365</v>
      </c>
      <c r="C31" s="41">
        <f>C30*(1+'RAW Data'!X41)</f>
        <v>12.238718129377315</v>
      </c>
    </row>
    <row r="32" spans="1:3">
      <c r="A32" s="40">
        <v>1962</v>
      </c>
      <c r="B32" s="41">
        <f>B31*(1+'RAW Data'!W42)</f>
        <v>22.112494054209492</v>
      </c>
      <c r="C32" s="41">
        <f>C31*(1+'RAW Data'!X42)</f>
        <v>12.194520958861558</v>
      </c>
    </row>
    <row r="33" spans="1:3">
      <c r="A33" s="40">
        <v>1963</v>
      </c>
      <c r="B33" s="41">
        <f>B32*(1+'RAW Data'!W43)</f>
        <v>25.166411793913696</v>
      </c>
      <c r="C33" s="41">
        <f>C32*(1+'RAW Data'!X43)</f>
        <v>13.878684843413176</v>
      </c>
    </row>
    <row r="34" spans="1:3">
      <c r="A34" s="40">
        <v>1964</v>
      </c>
      <c r="B34" s="41">
        <f>B33*(1+'RAW Data'!W44)</f>
        <v>27.953677653526817</v>
      </c>
      <c r="C34" s="41">
        <f>C33*(1+'RAW Data'!X44)</f>
        <v>15.415796480827094</v>
      </c>
    </row>
    <row r="35" spans="1:3">
      <c r="A35" s="40">
        <v>1965</v>
      </c>
      <c r="B35" s="41">
        <f>B34*(1+'RAW Data'!W45)</f>
        <v>30.335131561605088</v>
      </c>
      <c r="C35" s="41">
        <f>C34*(1+'RAW Data'!X45)</f>
        <v>16.729112361135712</v>
      </c>
    </row>
    <row r="36" spans="1:3">
      <c r="A36" s="40">
        <v>1966</v>
      </c>
      <c r="B36" s="41">
        <f>B35*(1+'RAW Data'!W46)</f>
        <v>29.737622308606728</v>
      </c>
      <c r="C36" s="41">
        <f>C35*(1+'RAW Data'!X46)</f>
        <v>16.399600046019223</v>
      </c>
    </row>
    <row r="37" spans="1:3">
      <c r="A37" s="40">
        <v>1967</v>
      </c>
      <c r="B37" s="41">
        <f>B36*(1+'RAW Data'!W47)</f>
        <v>33.210554034787577</v>
      </c>
      <c r="C37" s="41">
        <f>C36*(1+'RAW Data'!X47)</f>
        <v>18.314840299777277</v>
      </c>
    </row>
    <row r="38" spans="1:3">
      <c r="A38" s="40">
        <v>1968</v>
      </c>
      <c r="B38" s="41">
        <f>B37*(1+'RAW Data'!W48)</f>
        <v>36.080385356178937</v>
      </c>
      <c r="C38" s="41">
        <f>C37*(1+'RAW Data'!X48)</f>
        <v>19.89748484956483</v>
      </c>
    </row>
    <row r="39" spans="1:3">
      <c r="A39" s="40">
        <v>1969</v>
      </c>
      <c r="B39" s="41">
        <f>B38*(1+'RAW Data'!W49)</f>
        <v>35.155572805580363</v>
      </c>
      <c r="C39" s="41">
        <f>C38*(1+'RAW Data'!X49)</f>
        <v>19.387472455501772</v>
      </c>
    </row>
    <row r="40" spans="1:3">
      <c r="A40" s="40">
        <v>1970</v>
      </c>
      <c r="B40" s="41">
        <f>B39*(1+'RAW Data'!W50)</f>
        <v>37.78059392053455</v>
      </c>
      <c r="C40" s="41">
        <f>C39*(1+'RAW Data'!X50)</f>
        <v>20.835109928022387</v>
      </c>
    </row>
    <row r="41" spans="1:3">
      <c r="A41" s="40">
        <v>1971</v>
      </c>
      <c r="B41" s="41">
        <f>B40*(1+'RAW Data'!W51)</f>
        <v>41.659196812079166</v>
      </c>
      <c r="C41" s="41">
        <f>C40*(1+'RAW Data'!X51)</f>
        <v>22.974068298620026</v>
      </c>
    </row>
    <row r="42" spans="1:3">
      <c r="A42" s="40">
        <v>1972</v>
      </c>
      <c r="B42" s="41">
        <f>B41*(1+'RAW Data'!W52)</f>
        <v>46.846520955531894</v>
      </c>
      <c r="C42" s="41">
        <f>C41*(1+'RAW Data'!X52)</f>
        <v>25.834755692482808</v>
      </c>
    </row>
    <row r="43" spans="1:3">
      <c r="A43" s="40">
        <v>1973</v>
      </c>
      <c r="B43" s="41">
        <f>B42*(1+'RAW Data'!W53)</f>
        <v>43.387708680934551</v>
      </c>
      <c r="C43" s="41">
        <f>C42*(1+'RAW Data'!X53)</f>
        <v>23.927301984549963</v>
      </c>
    </row>
    <row r="44" spans="1:3">
      <c r="A44" s="40">
        <v>1974</v>
      </c>
      <c r="B44" s="41">
        <f>B43*(1+'RAW Data'!W54)</f>
        <v>36.81361506985084</v>
      </c>
      <c r="C44" s="41">
        <f>C43*(1+'RAW Data'!X54)</f>
        <v>21.643087067296335</v>
      </c>
    </row>
    <row r="45" spans="1:3">
      <c r="A45" s="40">
        <v>1975</v>
      </c>
      <c r="B45" s="41">
        <f>B44*(1+'RAW Data'!W55)</f>
        <v>48.708444782088556</v>
      </c>
      <c r="C45" s="41">
        <f>C44*(1+'RAW Data'!X55)</f>
        <v>27.28343018460178</v>
      </c>
    </row>
    <row r="46" spans="1:3">
      <c r="A46" s="40">
        <v>1976</v>
      </c>
      <c r="B46" s="41">
        <f>B45*(1+'RAW Data'!W56)</f>
        <v>53.776693734962898</v>
      </c>
      <c r="C46" s="41">
        <f>C45*(1+'RAW Data'!X56)</f>
        <v>29.862794294421498</v>
      </c>
    </row>
    <row r="47" spans="1:3">
      <c r="A47" s="40">
        <v>1977</v>
      </c>
      <c r="B47" s="41">
        <f>B46*(1+'RAW Data'!W57)</f>
        <v>50.618400478401405</v>
      </c>
      <c r="C47" s="41">
        <f>C46*(1+'RAW Data'!X57)</f>
        <v>28.912490506831901</v>
      </c>
    </row>
    <row r="48" spans="1:3">
      <c r="A48" s="40">
        <v>1978</v>
      </c>
      <c r="B48" s="41">
        <f>B47*(1+'RAW Data'!W58)</f>
        <v>57.842546420938177</v>
      </c>
      <c r="C48" s="41">
        <f>C47*(1+'RAW Data'!X58)</f>
        <v>32.510312771501219</v>
      </c>
    </row>
    <row r="49" spans="1:3">
      <c r="A49" s="40">
        <v>1979</v>
      </c>
      <c r="B49" s="41">
        <f>B48*(1+'RAW Data'!W59)</f>
        <v>66.835392259104779</v>
      </c>
      <c r="C49" s="41">
        <f>C48*(1+'RAW Data'!X59)</f>
        <v>37.138264531755482</v>
      </c>
    </row>
    <row r="50" spans="1:3">
      <c r="A50" s="40">
        <v>1980</v>
      </c>
      <c r="B50" s="41">
        <f>B49*(1+'RAW Data'!W60)</f>
        <v>82.065473481713752</v>
      </c>
      <c r="C50" s="41">
        <f>C49*(1+'RAW Data'!X60)</f>
        <v>44.597702995757196</v>
      </c>
    </row>
    <row r="51" spans="1:3">
      <c r="A51" s="40">
        <v>1981</v>
      </c>
      <c r="B51" s="41">
        <f>B50*(1+'RAW Data'!W61)</f>
        <v>80.034473176594673</v>
      </c>
      <c r="C51" s="41">
        <f>C50*(1+'RAW Data'!X61)</f>
        <v>45.428941661647904</v>
      </c>
    </row>
    <row r="52" spans="1:3">
      <c r="A52" s="40">
        <v>1982</v>
      </c>
      <c r="B52" s="41">
        <f>B51*(1+'RAW Data'!W62)</f>
        <v>100.57681112740708</v>
      </c>
      <c r="C52" s="41">
        <f>C51*(1+'RAW Data'!X62)</f>
        <v>55.633484307378225</v>
      </c>
    </row>
    <row r="53" spans="1:3">
      <c r="A53" s="40">
        <v>1983</v>
      </c>
      <c r="B53" s="41">
        <f>B52*(1+'RAW Data'!W63)</f>
        <v>118.65992598976324</v>
      </c>
      <c r="C53" s="41">
        <f>C52*(1+'RAW Data'!X63)</f>
        <v>64.374648365649918</v>
      </c>
    </row>
    <row r="54" spans="1:3">
      <c r="A54" s="40">
        <v>1984</v>
      </c>
      <c r="B54" s="41">
        <f>B53*(1+'RAW Data'!W64)</f>
        <v>128.33329210745731</v>
      </c>
      <c r="C54" s="41">
        <f>C53*(1+'RAW Data'!X64)</f>
        <v>69.93766862327314</v>
      </c>
    </row>
    <row r="55" spans="1:3">
      <c r="A55" s="40">
        <v>1985</v>
      </c>
      <c r="B55" s="41">
        <f>B54*(1+'RAW Data'!W65)</f>
        <v>157.33839787831275</v>
      </c>
      <c r="C55" s="41">
        <f>C54*(1+'RAW Data'!X65)</f>
        <v>83.424127826339216</v>
      </c>
    </row>
    <row r="56" spans="1:3">
      <c r="A56" s="40">
        <v>1986</v>
      </c>
      <c r="B56" s="41">
        <f>B55*(1+'RAW Data'!W66)</f>
        <v>198.80883235510774</v>
      </c>
      <c r="C56" s="41">
        <f>C55*(1+'RAW Data'!X66)</f>
        <v>101.51515792745333</v>
      </c>
    </row>
    <row r="57" spans="1:3">
      <c r="A57" s="40">
        <v>1987</v>
      </c>
      <c r="B57" s="41">
        <f>B56*(1+'RAW Data'!W67)</f>
        <v>201.12281563878602</v>
      </c>
      <c r="C57" s="41">
        <f>C56*(1+'RAW Data'!X67)</f>
        <v>102.69671699452992</v>
      </c>
    </row>
    <row r="58" spans="1:3">
      <c r="A58" s="40">
        <v>1988</v>
      </c>
      <c r="B58" s="41">
        <f>B57*(1+'RAW Data'!W68)</f>
        <v>232.69470009970988</v>
      </c>
      <c r="C58" s="41">
        <f>C57*(1+'RAW Data'!X68)</f>
        <v>116.62840995812397</v>
      </c>
    </row>
    <row r="59" spans="1:3">
      <c r="A59" s="40">
        <v>1989</v>
      </c>
      <c r="B59" s="41">
        <f>B58*(1+'RAW Data'!W69)</f>
        <v>273.15749126031199</v>
      </c>
      <c r="C59" s="41">
        <f>C58*(1+'RAW Data'!X69)</f>
        <v>136.90867845373867</v>
      </c>
    </row>
    <row r="60" spans="1:3">
      <c r="A60" s="40">
        <v>1990</v>
      </c>
      <c r="B60" s="41">
        <f>B59*(1+'RAW Data'!W70)</f>
        <v>280.45005274093734</v>
      </c>
      <c r="C60" s="41">
        <f>C59*(1+'RAW Data'!X70)</f>
        <v>140.56376750236223</v>
      </c>
    </row>
    <row r="61" spans="1:3">
      <c r="A61" s="40">
        <v>1991</v>
      </c>
      <c r="B61" s="41">
        <f>B60*(1+'RAW Data'!W71)</f>
        <v>341.49175145535344</v>
      </c>
      <c r="C61" s="41">
        <f>C60*(1+'RAW Data'!X71)</f>
        <v>171.15834597430262</v>
      </c>
    </row>
    <row r="62" spans="1:3">
      <c r="A62" s="40">
        <v>1992</v>
      </c>
      <c r="B62" s="41">
        <f>B61*(1+'RAW Data'!W72)</f>
        <v>363.00136679576468</v>
      </c>
      <c r="C62" s="41">
        <f>C61*(1+'RAW Data'!X72)</f>
        <v>181.93913399778612</v>
      </c>
    </row>
    <row r="63" spans="1:3">
      <c r="A63" s="40">
        <v>1993</v>
      </c>
      <c r="B63" s="41">
        <f>B62*(1+'RAW Data'!W73)</f>
        <v>393.57979958343515</v>
      </c>
      <c r="C63" s="41">
        <f>C62*(1+'RAW Data'!X73)</f>
        <v>197.26528450103865</v>
      </c>
    </row>
    <row r="64" spans="1:3">
      <c r="A64" s="40">
        <v>1994</v>
      </c>
      <c r="B64" s="41">
        <f>B63*(1+'RAW Data'!W74)</f>
        <v>401.9790995552064</v>
      </c>
      <c r="C64" s="41">
        <f>C63*(1+'RAW Data'!X74)</f>
        <v>201.47507956748939</v>
      </c>
    </row>
    <row r="65" spans="1:3">
      <c r="A65" s="40">
        <v>1995</v>
      </c>
      <c r="B65" s="41">
        <f>B64*(1+'RAW Data'!W75)</f>
        <v>497.93873803476288</v>
      </c>
      <c r="C65" s="41">
        <f>C64*(1+'RAW Data'!X75)</f>
        <v>249.57080349773557</v>
      </c>
    </row>
    <row r="66" spans="1:3">
      <c r="A66" s="40">
        <v>1996</v>
      </c>
      <c r="B66" s="41">
        <f>B65*(1+'RAW Data'!W76)</f>
        <v>589.57324363482201</v>
      </c>
      <c r="C66" s="41">
        <f>C65*(1+'RAW Data'!X76)</f>
        <v>295.49873688364522</v>
      </c>
    </row>
    <row r="67" spans="1:3">
      <c r="A67" s="40">
        <v>1997</v>
      </c>
      <c r="B67" s="41">
        <f>B66*(1+'RAW Data'!W77)</f>
        <v>661.23319584320302</v>
      </c>
      <c r="C67" s="41">
        <f>C66*(1+'RAW Data'!X77)</f>
        <v>351.168016893762</v>
      </c>
    </row>
    <row r="68" spans="1:3">
      <c r="A68" s="40">
        <v>1998</v>
      </c>
      <c r="B68" s="41">
        <f>B67*(1+'RAW Data'!W78)</f>
        <v>748.9354571811084</v>
      </c>
      <c r="C68" s="41">
        <f>C67*(1+'RAW Data'!X78)</f>
        <v>424.90233672050601</v>
      </c>
    </row>
    <row r="69" spans="1:3">
      <c r="A69" s="40">
        <v>1999</v>
      </c>
      <c r="B69" s="41">
        <f>B68*(1+'RAW Data'!W79)</f>
        <v>807.4483946766228</v>
      </c>
      <c r="C69" s="41">
        <f>C68*(1+'RAW Data'!X79)</f>
        <v>472.09041328306722</v>
      </c>
    </row>
    <row r="70" spans="1:3">
      <c r="A70" s="40">
        <v>2000</v>
      </c>
      <c r="B70" s="41">
        <f>B69*(1+'RAW Data'!W80)</f>
        <v>827.136951621609</v>
      </c>
      <c r="C70" s="41">
        <f>C69*(1+'RAW Data'!X80)</f>
        <v>467.54292888567596</v>
      </c>
    </row>
    <row r="71" spans="1:3">
      <c r="A71" s="40">
        <v>2001</v>
      </c>
      <c r="B71" s="41">
        <f>B70*(1+'RAW Data'!W81)</f>
        <v>826.93712073345387</v>
      </c>
      <c r="C71" s="41">
        <f>C70*(1+'RAW Data'!X81)</f>
        <v>441.13461422886252</v>
      </c>
    </row>
    <row r="72" spans="1:3">
      <c r="A72" s="40">
        <v>2002</v>
      </c>
      <c r="B72" s="41">
        <f>B71*(1+'RAW Data'!W82)</f>
        <v>790.11536200798321</v>
      </c>
      <c r="C72" s="41">
        <f>C71*(1+'RAW Data'!X82)</f>
        <v>392.05584549110426</v>
      </c>
    </row>
    <row r="73" spans="1:3">
      <c r="A73" s="40">
        <v>2003</v>
      </c>
      <c r="B73" s="41">
        <f>B72*(1+'RAW Data'!W83)</f>
        <v>901.69487767245857</v>
      </c>
      <c r="C73" s="41">
        <f>C72*(1+'RAW Data'!X83)</f>
        <v>447.4216862996542</v>
      </c>
    </row>
    <row r="74" spans="1:3">
      <c r="A74" s="40">
        <v>2004</v>
      </c>
      <c r="B74" s="41">
        <f>B73*(1+'RAW Data'!W84)</f>
        <v>944.51042242157746</v>
      </c>
      <c r="C74" s="41">
        <f>C73*(1+'RAW Data'!X84)</f>
        <v>484.05067415518732</v>
      </c>
    </row>
    <row r="75" spans="1:3">
      <c r="A75" s="40">
        <v>2005</v>
      </c>
      <c r="B75" s="41">
        <f>B74*(1+'RAW Data'!W85)</f>
        <v>982.2662933575449</v>
      </c>
      <c r="C75" s="41">
        <f>C74*(1+'RAW Data'!X85)</f>
        <v>509.82541604518065</v>
      </c>
    </row>
    <row r="76" spans="1:3">
      <c r="A76" s="40">
        <v>2006</v>
      </c>
      <c r="B76" s="41">
        <f>B75*(1+'RAW Data'!W86)</f>
        <v>1054.0245959260717</v>
      </c>
      <c r="C76" s="41">
        <f>C75*(1+'RAW Data'!X86)</f>
        <v>562.13739628706605</v>
      </c>
    </row>
    <row r="77" spans="1:3">
      <c r="A77" s="40">
        <v>2007</v>
      </c>
      <c r="B77" s="41">
        <f>B76*(1+'RAW Data'!W87)</f>
        <v>1110.6830529506722</v>
      </c>
      <c r="C77" s="41">
        <f>C76*(1+'RAW Data'!X87)</f>
        <v>594.80252292485397</v>
      </c>
    </row>
    <row r="78" spans="1:3">
      <c r="A78" s="40">
        <v>2008</v>
      </c>
      <c r="B78" s="41">
        <f>B77*(1+'RAW Data'!W88)</f>
        <v>1006.8956604827201</v>
      </c>
      <c r="C78" s="41">
        <f>C77*(1+'RAW Data'!X88)</f>
        <v>464.24972996960156</v>
      </c>
    </row>
    <row r="79" spans="1:3">
      <c r="A79" s="40">
        <v>2009</v>
      </c>
      <c r="B79" s="41">
        <f>B78*(1+'RAW Data'!W89)</f>
        <v>1184.5768058316385</v>
      </c>
      <c r="C79" s="41">
        <f>C78*(1+'RAW Data'!X89)</f>
        <v>546.17323702829594</v>
      </c>
    </row>
    <row r="80" spans="1:3">
      <c r="A80" s="40">
        <v>2010</v>
      </c>
      <c r="B80" s="41">
        <f>B79*(1+'RAW Data'!W90)</f>
        <v>1284.8274374275238</v>
      </c>
      <c r="C80" s="41">
        <f>C79*(1+'RAW Data'!X90)</f>
        <v>592.39583036568229</v>
      </c>
    </row>
    <row r="81" spans="1:3">
      <c r="A81" s="40">
        <v>2011</v>
      </c>
      <c r="B81" s="41">
        <f>B80*(1+'RAW Data'!W91)</f>
        <v>1303.8403281899334</v>
      </c>
      <c r="C81" s="41">
        <f>C80*(1+'RAW Data'!X91)</f>
        <v>601.16211047673028</v>
      </c>
    </row>
    <row r="82" spans="1:3">
      <c r="A82" s="40">
        <v>2012</v>
      </c>
      <c r="B82" s="41">
        <f>B81*(1+'RAW Data'!W92)</f>
        <v>1436.7378218669744</v>
      </c>
      <c r="C82" s="41">
        <f>C81*(1+'RAW Data'!X92)</f>
        <v>662.4372037903953</v>
      </c>
    </row>
    <row r="83" spans="1:3">
      <c r="A83" s="40">
        <v>2013</v>
      </c>
      <c r="B83" s="41">
        <f>B82*(1+'RAW Data'!W93)</f>
        <v>1692.5081110616109</v>
      </c>
      <c r="C83" s="41">
        <f>C82*(1+'RAW Data'!X93)</f>
        <v>780.36529937472892</v>
      </c>
    </row>
    <row r="84" spans="1:3">
      <c r="A84" s="40">
        <v>2014</v>
      </c>
      <c r="B84" s="41">
        <f>B83*(1+'RAW Data'!W94)</f>
        <v>1854.0069335512258</v>
      </c>
      <c r="C84" s="41">
        <f>C83*(1+'RAW Data'!X94)</f>
        <v>854.82761724316413</v>
      </c>
    </row>
    <row r="85" spans="1:3">
      <c r="A85" s="40">
        <v>2015</v>
      </c>
      <c r="B85" s="41">
        <f>B84*(1+'RAW Data'!W95)</f>
        <v>1868.4289020213887</v>
      </c>
      <c r="C85" s="41">
        <f>C84*(1+'RAW Data'!X95)</f>
        <v>866.33156321498529</v>
      </c>
    </row>
    <row r="86" spans="1:3">
      <c r="A86" s="40">
        <v>2016</v>
      </c>
      <c r="B86" s="41">
        <f>B85*(1+'RAW Data'!W96)</f>
        <v>1941.9452265412322</v>
      </c>
      <c r="C86" s="41">
        <f>C85*(1+'RAW Data'!X96)</f>
        <v>928.87481091650648</v>
      </c>
    </row>
    <row r="87" spans="1:3">
      <c r="A87" s="40">
        <v>2017</v>
      </c>
      <c r="B87" s="41">
        <f>B86*(1+'RAW Data'!W97)</f>
        <v>2074.7781565280006</v>
      </c>
      <c r="C87" s="41">
        <f>C86*(1+'RAW Data'!X97)</f>
        <v>1047.8673826158476</v>
      </c>
    </row>
    <row r="88" spans="1:3">
      <c r="A88" s="40">
        <v>2018</v>
      </c>
      <c r="B88" s="41">
        <f>B87*(1+'RAW Data'!W98)</f>
        <v>2089.357099971799</v>
      </c>
      <c r="C88" s="41">
        <f>C87*(1+'RAW Data'!X98)</f>
        <v>1044.7798373653102</v>
      </c>
    </row>
    <row r="89" spans="1:3">
      <c r="A89" s="40">
        <v>2019</v>
      </c>
      <c r="B89" s="41">
        <f>B88*(1+'RAW Data'!W99)</f>
        <v>2291.274467107206</v>
      </c>
      <c r="C89" s="41">
        <f>C88*(1+'RAW Data'!X99)</f>
        <v>1218.9256378354164</v>
      </c>
    </row>
    <row r="90" spans="1:3">
      <c r="A90" s="40">
        <v>2020</v>
      </c>
      <c r="B90" s="41">
        <f>B89*(1+'RAW Data'!W100)</f>
        <v>2440.9507934060734</v>
      </c>
      <c r="C90" s="41">
        <f>C89*(1+'RAW Data'!X100)</f>
        <v>1359.2836713916004</v>
      </c>
    </row>
    <row r="91" spans="1:3">
      <c r="A91" s="40">
        <v>2021</v>
      </c>
      <c r="B91" s="41">
        <f>B90*(1+'RAW Data'!W101)</f>
        <v>2648.7244477660188</v>
      </c>
      <c r="C91" s="41">
        <f>C90*(1+'RAW Data'!X101)</f>
        <v>1589.3287539858193</v>
      </c>
    </row>
    <row r="92" spans="1:3">
      <c r="A92" s="40">
        <v>2022</v>
      </c>
      <c r="B92" s="41">
        <f>B91*(1+'RAW Data'!W102)</f>
        <v>2537.9246633454895</v>
      </c>
      <c r="C92" s="41">
        <f>C91*(1+'RAW Data'!X102)</f>
        <v>1450.0038262282026</v>
      </c>
    </row>
    <row r="93" spans="1:3">
      <c r="A93" s="40">
        <v>2023</v>
      </c>
      <c r="B93" s="41">
        <f>B92*(1+'RAW Data'!W103)</f>
        <v>2785.6488736349052</v>
      </c>
      <c r="C93" s="41">
        <f>C92*(1+'RAW Data'!X103)</f>
        <v>1664.7754036332433</v>
      </c>
    </row>
    <row r="94" spans="1:3">
      <c r="A94" s="40">
        <v>2024</v>
      </c>
      <c r="B94" s="41">
        <f>B93*(1+'RAW Data'!W104)</f>
        <v>3128.8992205711493</v>
      </c>
      <c r="C94" s="41">
        <f>C93*(1+'RAW Data'!X104)</f>
        <v>1995.3031307563335</v>
      </c>
    </row>
  </sheetData>
  <phoneticPr fontId="15" type="noConversion"/>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6</vt:i4>
      </vt:variant>
    </vt:vector>
  </HeadingPairs>
  <TitlesOfParts>
    <vt:vector size="6" baseType="lpstr">
      <vt:lpstr>RAW Data</vt:lpstr>
      <vt:lpstr>Regression</vt:lpstr>
      <vt:lpstr>Real_CAPE_Calc</vt:lpstr>
      <vt:lpstr>CAPE vs 1-Year Return</vt:lpstr>
      <vt:lpstr>CAPE vs 5-Year Return</vt:lpstr>
      <vt:lpstr>Portfolio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berturk@mays.tamu.edu</dc:creator>
  <dc:description/>
  <cp:lastModifiedBy>晟誌 洪</cp:lastModifiedBy>
  <cp:revision>2</cp:revision>
  <dcterms:created xsi:type="dcterms:W3CDTF">2011-11-07T16:27:49Z</dcterms:created>
  <dcterms:modified xsi:type="dcterms:W3CDTF">2026-07-07T16:51:11Z</dcterms:modified>
  <dc:language>en-US</dc:language>
</cp:coreProperties>
</file>